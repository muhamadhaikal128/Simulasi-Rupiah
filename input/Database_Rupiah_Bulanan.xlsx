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05\Downloads\"/>
    </mc:Choice>
  </mc:AlternateContent>
  <xr:revisionPtr revIDLastSave="0" documentId="11_05E3C132F4969384332F9AE7CB06A3D0D0728861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base_monthly" sheetId="1" r:id="rId1"/>
    <sheet name="flow_components" sheetId="2" r:id="rId2"/>
    <sheet name="rating_events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6" i="1" l="1"/>
  <c r="O166" i="1" s="1"/>
  <c r="F166" i="1"/>
  <c r="E166" i="1"/>
  <c r="Y166" i="1" s="1"/>
  <c r="X166" i="1" s="1"/>
  <c r="C166" i="1"/>
  <c r="N165" i="1"/>
  <c r="O165" i="1" s="1"/>
  <c r="F165" i="1"/>
  <c r="E165" i="1"/>
  <c r="Y165" i="1" s="1"/>
  <c r="X165" i="1" s="1"/>
  <c r="C165" i="1"/>
  <c r="N164" i="1"/>
  <c r="O164" i="1" s="1"/>
  <c r="F164" i="1"/>
  <c r="E164" i="1"/>
  <c r="Y164" i="1" s="1"/>
  <c r="X164" i="1" s="1"/>
  <c r="C164" i="1"/>
  <c r="N163" i="1"/>
  <c r="O163" i="1" s="1"/>
  <c r="F163" i="1"/>
  <c r="E163" i="1"/>
  <c r="Y163" i="1" s="1"/>
  <c r="X163" i="1" s="1"/>
  <c r="C163" i="1"/>
  <c r="N162" i="1"/>
  <c r="O162" i="1" s="1"/>
  <c r="F162" i="1"/>
  <c r="E162" i="1"/>
  <c r="Y162" i="1" s="1"/>
  <c r="X162" i="1" s="1"/>
  <c r="C162" i="1"/>
  <c r="S161" i="1"/>
  <c r="N161" i="1"/>
  <c r="O161" i="1" s="1"/>
  <c r="F161" i="1"/>
  <c r="E161" i="1"/>
  <c r="Y161" i="1" s="1"/>
  <c r="X161" i="1" s="1"/>
  <c r="C161" i="1"/>
  <c r="N160" i="1"/>
  <c r="O160" i="1" s="1"/>
  <c r="F160" i="1"/>
  <c r="E160" i="1"/>
  <c r="Y160" i="1" s="1"/>
  <c r="X160" i="1" s="1"/>
  <c r="C160" i="1"/>
  <c r="N159" i="1"/>
  <c r="O159" i="1" s="1"/>
  <c r="F159" i="1"/>
  <c r="E159" i="1"/>
  <c r="Y159" i="1" s="1"/>
  <c r="X159" i="1" s="1"/>
  <c r="C159" i="1"/>
  <c r="N158" i="1"/>
  <c r="O158" i="1" s="1"/>
  <c r="F158" i="1"/>
  <c r="E158" i="1"/>
  <c r="Y158" i="1" s="1"/>
  <c r="X158" i="1" s="1"/>
  <c r="C158" i="1"/>
  <c r="N157" i="1"/>
  <c r="O157" i="1" s="1"/>
  <c r="F157" i="1"/>
  <c r="E157" i="1"/>
  <c r="Y157" i="1" s="1"/>
  <c r="X157" i="1" s="1"/>
  <c r="C157" i="1"/>
  <c r="N156" i="1"/>
  <c r="O156" i="1" s="1"/>
  <c r="F156" i="1"/>
  <c r="E156" i="1"/>
  <c r="Y156" i="1" s="1"/>
  <c r="X156" i="1" s="1"/>
  <c r="C156" i="1"/>
  <c r="N155" i="1"/>
  <c r="O155" i="1" s="1"/>
  <c r="F155" i="1"/>
  <c r="E155" i="1"/>
  <c r="Y155" i="1" s="1"/>
  <c r="X155" i="1" s="1"/>
  <c r="C155" i="1"/>
  <c r="N154" i="1"/>
  <c r="O154" i="1" s="1"/>
  <c r="F154" i="1"/>
  <c r="E154" i="1"/>
  <c r="Y154" i="1" s="1"/>
  <c r="X154" i="1" s="1"/>
  <c r="C154" i="1"/>
  <c r="N153" i="1"/>
  <c r="O153" i="1" s="1"/>
  <c r="F153" i="1"/>
  <c r="E153" i="1"/>
  <c r="Y153" i="1" s="1"/>
  <c r="X153" i="1" s="1"/>
  <c r="C153" i="1"/>
  <c r="N152" i="1"/>
  <c r="O152" i="1" s="1"/>
  <c r="F152" i="1"/>
  <c r="E152" i="1"/>
  <c r="Y152" i="1" s="1"/>
  <c r="X152" i="1" s="1"/>
  <c r="C152" i="1"/>
  <c r="N151" i="1"/>
  <c r="O151" i="1" s="1"/>
  <c r="F151" i="1"/>
  <c r="E151" i="1"/>
  <c r="Y151" i="1" s="1"/>
  <c r="X151" i="1" s="1"/>
  <c r="C151" i="1"/>
  <c r="N150" i="1"/>
  <c r="O150" i="1" s="1"/>
  <c r="F150" i="1"/>
  <c r="E150" i="1"/>
  <c r="Y150" i="1" s="1"/>
  <c r="X150" i="1" s="1"/>
  <c r="C150" i="1"/>
  <c r="N149" i="1"/>
  <c r="O149" i="1" s="1"/>
  <c r="F149" i="1"/>
  <c r="E149" i="1"/>
  <c r="Y149" i="1" s="1"/>
  <c r="X149" i="1" s="1"/>
  <c r="C149" i="1"/>
  <c r="S148" i="1"/>
  <c r="N148" i="1"/>
  <c r="O148" i="1" s="1"/>
  <c r="F148" i="1"/>
  <c r="E148" i="1"/>
  <c r="Y148" i="1" s="1"/>
  <c r="X148" i="1" s="1"/>
  <c r="C148" i="1"/>
  <c r="N147" i="1"/>
  <c r="O147" i="1" s="1"/>
  <c r="F147" i="1"/>
  <c r="E147" i="1"/>
  <c r="Y147" i="1" s="1"/>
  <c r="X147" i="1" s="1"/>
  <c r="C147" i="1"/>
  <c r="N146" i="1"/>
  <c r="O146" i="1" s="1"/>
  <c r="F146" i="1"/>
  <c r="E146" i="1"/>
  <c r="Y146" i="1" s="1"/>
  <c r="X146" i="1" s="1"/>
  <c r="C146" i="1"/>
  <c r="N145" i="1"/>
  <c r="O145" i="1" s="1"/>
  <c r="F145" i="1"/>
  <c r="E145" i="1"/>
  <c r="Y145" i="1" s="1"/>
  <c r="X145" i="1" s="1"/>
  <c r="C145" i="1"/>
  <c r="N144" i="1"/>
  <c r="O144" i="1" s="1"/>
  <c r="F144" i="1"/>
  <c r="E144" i="1"/>
  <c r="Y144" i="1" s="1"/>
  <c r="X144" i="1" s="1"/>
  <c r="C144" i="1"/>
  <c r="N143" i="1"/>
  <c r="O143" i="1" s="1"/>
  <c r="F143" i="1"/>
  <c r="E143" i="1"/>
  <c r="Y143" i="1" s="1"/>
  <c r="X143" i="1" s="1"/>
  <c r="C143" i="1"/>
  <c r="N142" i="1"/>
  <c r="O142" i="1" s="1"/>
  <c r="F142" i="1"/>
  <c r="E142" i="1"/>
  <c r="Y142" i="1" s="1"/>
  <c r="X142" i="1" s="1"/>
  <c r="C142" i="1"/>
  <c r="Y141" i="1"/>
  <c r="X141" i="1" s="1"/>
  <c r="N141" i="1"/>
  <c r="O141" i="1" s="1"/>
  <c r="F141" i="1"/>
  <c r="E141" i="1"/>
  <c r="C141" i="1"/>
  <c r="N140" i="1"/>
  <c r="O140" i="1" s="1"/>
  <c r="F140" i="1"/>
  <c r="E140" i="1"/>
  <c r="Y140" i="1" s="1"/>
  <c r="X140" i="1" s="1"/>
  <c r="C140" i="1"/>
  <c r="N139" i="1"/>
  <c r="O139" i="1" s="1"/>
  <c r="F139" i="1"/>
  <c r="E139" i="1"/>
  <c r="Y139" i="1" s="1"/>
  <c r="X139" i="1" s="1"/>
  <c r="C139" i="1"/>
  <c r="N138" i="1"/>
  <c r="O138" i="1" s="1"/>
  <c r="F138" i="1"/>
  <c r="E138" i="1"/>
  <c r="Y138" i="1" s="1"/>
  <c r="X138" i="1" s="1"/>
  <c r="C138" i="1"/>
  <c r="N137" i="1"/>
  <c r="O137" i="1" s="1"/>
  <c r="F137" i="1"/>
  <c r="E137" i="1"/>
  <c r="Y137" i="1" s="1"/>
  <c r="X137" i="1" s="1"/>
  <c r="C137" i="1"/>
  <c r="N136" i="1"/>
  <c r="O136" i="1" s="1"/>
  <c r="F136" i="1"/>
  <c r="E136" i="1"/>
  <c r="Y136" i="1" s="1"/>
  <c r="X136" i="1" s="1"/>
  <c r="C136" i="1"/>
  <c r="N135" i="1"/>
  <c r="O135" i="1" s="1"/>
  <c r="F135" i="1"/>
  <c r="E135" i="1"/>
  <c r="Y135" i="1" s="1"/>
  <c r="X135" i="1" s="1"/>
  <c r="C135" i="1"/>
  <c r="N134" i="1"/>
  <c r="O134" i="1" s="1"/>
  <c r="F134" i="1"/>
  <c r="E134" i="1"/>
  <c r="Y134" i="1" s="1"/>
  <c r="X134" i="1" s="1"/>
  <c r="C134" i="1"/>
  <c r="N133" i="1"/>
  <c r="O133" i="1" s="1"/>
  <c r="F133" i="1"/>
  <c r="E133" i="1"/>
  <c r="Y133" i="1" s="1"/>
  <c r="X133" i="1" s="1"/>
  <c r="C133" i="1"/>
  <c r="N132" i="1"/>
  <c r="O132" i="1" s="1"/>
  <c r="F132" i="1"/>
  <c r="E132" i="1"/>
  <c r="Y132" i="1" s="1"/>
  <c r="X132" i="1" s="1"/>
  <c r="C132" i="1"/>
  <c r="N131" i="1"/>
  <c r="O131" i="1" s="1"/>
  <c r="F131" i="1"/>
  <c r="E131" i="1"/>
  <c r="Y131" i="1" s="1"/>
  <c r="X131" i="1" s="1"/>
  <c r="C131" i="1"/>
  <c r="N130" i="1"/>
  <c r="O130" i="1" s="1"/>
  <c r="F130" i="1"/>
  <c r="E130" i="1"/>
  <c r="Y130" i="1" s="1"/>
  <c r="X130" i="1" s="1"/>
  <c r="C130" i="1"/>
  <c r="N129" i="1"/>
  <c r="O129" i="1" s="1"/>
  <c r="F129" i="1"/>
  <c r="E129" i="1"/>
  <c r="Y129" i="1" s="1"/>
  <c r="X129" i="1" s="1"/>
  <c r="C129" i="1"/>
  <c r="N128" i="1"/>
  <c r="O128" i="1" s="1"/>
  <c r="F128" i="1"/>
  <c r="E128" i="1"/>
  <c r="Y128" i="1" s="1"/>
  <c r="X128" i="1" s="1"/>
  <c r="C128" i="1"/>
  <c r="N127" i="1"/>
  <c r="O127" i="1" s="1"/>
  <c r="F127" i="1"/>
  <c r="E127" i="1"/>
  <c r="Y127" i="1" s="1"/>
  <c r="X127" i="1" s="1"/>
  <c r="C127" i="1"/>
  <c r="N126" i="1"/>
  <c r="O126" i="1" s="1"/>
  <c r="F126" i="1"/>
  <c r="E126" i="1"/>
  <c r="Y126" i="1" s="1"/>
  <c r="X126" i="1" s="1"/>
  <c r="C126" i="1"/>
  <c r="N125" i="1"/>
  <c r="O125" i="1" s="1"/>
  <c r="F125" i="1"/>
  <c r="E125" i="1"/>
  <c r="Y125" i="1" s="1"/>
  <c r="X125" i="1" s="1"/>
  <c r="C125" i="1"/>
  <c r="Q124" i="1"/>
  <c r="N124" i="1"/>
  <c r="O124" i="1" s="1"/>
  <c r="F124" i="1"/>
  <c r="E124" i="1"/>
  <c r="Y124" i="1" s="1"/>
  <c r="X124" i="1" s="1"/>
  <c r="C124" i="1"/>
  <c r="N123" i="1"/>
  <c r="O123" i="1" s="1"/>
  <c r="F123" i="1"/>
  <c r="E123" i="1"/>
  <c r="Y123" i="1" s="1"/>
  <c r="X123" i="1" s="1"/>
  <c r="C123" i="1"/>
  <c r="N122" i="1"/>
  <c r="O122" i="1" s="1"/>
  <c r="F122" i="1"/>
  <c r="E122" i="1"/>
  <c r="Y122" i="1" s="1"/>
  <c r="X122" i="1" s="1"/>
  <c r="C122" i="1"/>
  <c r="N121" i="1"/>
  <c r="O121" i="1" s="1"/>
  <c r="F121" i="1"/>
  <c r="E121" i="1"/>
  <c r="Y121" i="1" s="1"/>
  <c r="X121" i="1" s="1"/>
  <c r="C121" i="1"/>
  <c r="N120" i="1"/>
  <c r="O120" i="1" s="1"/>
  <c r="F120" i="1"/>
  <c r="E120" i="1"/>
  <c r="Y120" i="1" s="1"/>
  <c r="X120" i="1" s="1"/>
  <c r="C120" i="1"/>
  <c r="N119" i="1"/>
  <c r="O119" i="1" s="1"/>
  <c r="F119" i="1"/>
  <c r="E119" i="1"/>
  <c r="Y119" i="1" s="1"/>
  <c r="X119" i="1" s="1"/>
  <c r="C119" i="1"/>
  <c r="N118" i="1"/>
  <c r="O118" i="1" s="1"/>
  <c r="F118" i="1"/>
  <c r="E118" i="1"/>
  <c r="Y118" i="1" s="1"/>
  <c r="X118" i="1" s="1"/>
  <c r="C118" i="1"/>
  <c r="N117" i="1"/>
  <c r="O117" i="1" s="1"/>
  <c r="F117" i="1"/>
  <c r="E117" i="1"/>
  <c r="Y117" i="1" s="1"/>
  <c r="X117" i="1" s="1"/>
  <c r="C117" i="1"/>
  <c r="N116" i="1"/>
  <c r="O116" i="1" s="1"/>
  <c r="F116" i="1"/>
  <c r="E116" i="1"/>
  <c r="Y116" i="1" s="1"/>
  <c r="X116" i="1" s="1"/>
  <c r="C116" i="1"/>
  <c r="N115" i="1"/>
  <c r="O115" i="1" s="1"/>
  <c r="F115" i="1"/>
  <c r="E115" i="1"/>
  <c r="Y115" i="1" s="1"/>
  <c r="X115" i="1" s="1"/>
  <c r="C115" i="1"/>
  <c r="N114" i="1"/>
  <c r="O114" i="1" s="1"/>
  <c r="F114" i="1"/>
  <c r="E114" i="1"/>
  <c r="Y114" i="1" s="1"/>
  <c r="X114" i="1" s="1"/>
  <c r="C114" i="1"/>
  <c r="N113" i="1"/>
  <c r="O113" i="1" s="1"/>
  <c r="F113" i="1"/>
  <c r="E113" i="1"/>
  <c r="Y113" i="1" s="1"/>
  <c r="X113" i="1" s="1"/>
  <c r="C113" i="1"/>
  <c r="N112" i="1"/>
  <c r="O112" i="1" s="1"/>
  <c r="F112" i="1"/>
  <c r="E112" i="1"/>
  <c r="Y112" i="1" s="1"/>
  <c r="X112" i="1" s="1"/>
  <c r="C112" i="1"/>
  <c r="N111" i="1"/>
  <c r="O111" i="1" s="1"/>
  <c r="F111" i="1"/>
  <c r="E111" i="1"/>
  <c r="Y111" i="1" s="1"/>
  <c r="X111" i="1" s="1"/>
  <c r="C111" i="1"/>
  <c r="N110" i="1"/>
  <c r="O110" i="1" s="1"/>
  <c r="F110" i="1"/>
  <c r="E110" i="1"/>
  <c r="Y110" i="1" s="1"/>
  <c r="X110" i="1" s="1"/>
  <c r="C110" i="1"/>
  <c r="N109" i="1"/>
  <c r="O109" i="1" s="1"/>
  <c r="F109" i="1"/>
  <c r="E109" i="1"/>
  <c r="Y109" i="1" s="1"/>
  <c r="X109" i="1" s="1"/>
  <c r="C109" i="1"/>
  <c r="N108" i="1"/>
  <c r="O108" i="1" s="1"/>
  <c r="F108" i="1"/>
  <c r="E108" i="1"/>
  <c r="Y108" i="1" s="1"/>
  <c r="X108" i="1" s="1"/>
  <c r="C108" i="1"/>
  <c r="Y107" i="1"/>
  <c r="X107" i="1" s="1"/>
  <c r="N107" i="1"/>
  <c r="O107" i="1" s="1"/>
  <c r="F107" i="1"/>
  <c r="E107" i="1"/>
  <c r="C107" i="1"/>
  <c r="N106" i="1"/>
  <c r="O106" i="1" s="1"/>
  <c r="F106" i="1"/>
  <c r="E106" i="1"/>
  <c r="Y106" i="1" s="1"/>
  <c r="X106" i="1" s="1"/>
  <c r="C106" i="1"/>
  <c r="N105" i="1"/>
  <c r="O105" i="1" s="1"/>
  <c r="F105" i="1"/>
  <c r="E105" i="1"/>
  <c r="Y105" i="1" s="1"/>
  <c r="X105" i="1" s="1"/>
  <c r="C105" i="1"/>
  <c r="N104" i="1"/>
  <c r="O104" i="1" s="1"/>
  <c r="F104" i="1"/>
  <c r="E104" i="1"/>
  <c r="Y104" i="1" s="1"/>
  <c r="X104" i="1" s="1"/>
  <c r="C104" i="1"/>
  <c r="N103" i="1"/>
  <c r="O103" i="1" s="1"/>
  <c r="F103" i="1"/>
  <c r="E103" i="1"/>
  <c r="Y103" i="1" s="1"/>
  <c r="X103" i="1" s="1"/>
  <c r="C103" i="1"/>
  <c r="N102" i="1"/>
  <c r="O102" i="1" s="1"/>
  <c r="F102" i="1"/>
  <c r="E102" i="1"/>
  <c r="Y102" i="1" s="1"/>
  <c r="X102" i="1" s="1"/>
  <c r="C102" i="1"/>
  <c r="N101" i="1"/>
  <c r="O101" i="1" s="1"/>
  <c r="F101" i="1"/>
  <c r="E101" i="1"/>
  <c r="Y101" i="1" s="1"/>
  <c r="X101" i="1" s="1"/>
  <c r="C101" i="1"/>
  <c r="N100" i="1"/>
  <c r="O100" i="1" s="1"/>
  <c r="F100" i="1"/>
  <c r="E100" i="1"/>
  <c r="Y100" i="1" s="1"/>
  <c r="X100" i="1" s="1"/>
  <c r="C100" i="1"/>
  <c r="N99" i="1"/>
  <c r="O99" i="1" s="1"/>
  <c r="F99" i="1"/>
  <c r="E99" i="1"/>
  <c r="Y99" i="1" s="1"/>
  <c r="X99" i="1" s="1"/>
  <c r="C99" i="1"/>
  <c r="N98" i="1"/>
  <c r="O98" i="1" s="1"/>
  <c r="F98" i="1"/>
  <c r="E98" i="1"/>
  <c r="Y98" i="1" s="1"/>
  <c r="X98" i="1" s="1"/>
  <c r="C98" i="1"/>
  <c r="N97" i="1"/>
  <c r="O97" i="1" s="1"/>
  <c r="F97" i="1"/>
  <c r="E97" i="1"/>
  <c r="Y97" i="1" s="1"/>
  <c r="X97" i="1" s="1"/>
  <c r="C97" i="1"/>
  <c r="N96" i="1"/>
  <c r="O96" i="1" s="1"/>
  <c r="F96" i="1"/>
  <c r="E96" i="1"/>
  <c r="Y96" i="1" s="1"/>
  <c r="X96" i="1" s="1"/>
  <c r="C96" i="1"/>
  <c r="N95" i="1"/>
  <c r="O95" i="1" s="1"/>
  <c r="F95" i="1"/>
  <c r="E95" i="1"/>
  <c r="Y95" i="1" s="1"/>
  <c r="X95" i="1" s="1"/>
  <c r="C95" i="1"/>
  <c r="N94" i="1"/>
  <c r="O94" i="1" s="1"/>
  <c r="F94" i="1"/>
  <c r="E94" i="1"/>
  <c r="Y94" i="1" s="1"/>
  <c r="X94" i="1" s="1"/>
  <c r="C94" i="1"/>
  <c r="N93" i="1"/>
  <c r="O93" i="1" s="1"/>
  <c r="F93" i="1"/>
  <c r="E93" i="1"/>
  <c r="Y93" i="1" s="1"/>
  <c r="X93" i="1" s="1"/>
  <c r="C93" i="1"/>
  <c r="N92" i="1"/>
  <c r="O92" i="1" s="1"/>
  <c r="F92" i="1"/>
  <c r="E92" i="1"/>
  <c r="Y92" i="1" s="1"/>
  <c r="X92" i="1" s="1"/>
  <c r="C92" i="1"/>
  <c r="N91" i="1"/>
  <c r="O91" i="1" s="1"/>
  <c r="F91" i="1"/>
  <c r="E91" i="1"/>
  <c r="Y91" i="1" s="1"/>
  <c r="X91" i="1" s="1"/>
  <c r="C91" i="1"/>
  <c r="N90" i="1"/>
  <c r="O90" i="1" s="1"/>
  <c r="F90" i="1"/>
  <c r="E90" i="1"/>
  <c r="Y90" i="1" s="1"/>
  <c r="X90" i="1" s="1"/>
  <c r="C90" i="1"/>
  <c r="N89" i="1"/>
  <c r="O89" i="1" s="1"/>
  <c r="F89" i="1"/>
  <c r="E89" i="1"/>
  <c r="Y89" i="1" s="1"/>
  <c r="X89" i="1" s="1"/>
  <c r="C89" i="1"/>
  <c r="N88" i="1"/>
  <c r="O88" i="1" s="1"/>
  <c r="F88" i="1"/>
  <c r="E88" i="1"/>
  <c r="Y88" i="1" s="1"/>
  <c r="X88" i="1" s="1"/>
  <c r="C88" i="1"/>
  <c r="Q87" i="1"/>
  <c r="N87" i="1"/>
  <c r="O87" i="1" s="1"/>
  <c r="F87" i="1"/>
  <c r="E87" i="1"/>
  <c r="Y87" i="1" s="1"/>
  <c r="X87" i="1" s="1"/>
  <c r="C87" i="1"/>
  <c r="R86" i="1"/>
  <c r="N86" i="1"/>
  <c r="O86" i="1" s="1"/>
  <c r="F86" i="1"/>
  <c r="E86" i="1"/>
  <c r="Y86" i="1" s="1"/>
  <c r="X86" i="1" s="1"/>
  <c r="C86" i="1"/>
  <c r="N85" i="1"/>
  <c r="O85" i="1" s="1"/>
  <c r="F85" i="1"/>
  <c r="E85" i="1"/>
  <c r="Y85" i="1" s="1"/>
  <c r="X85" i="1" s="1"/>
  <c r="C85" i="1"/>
  <c r="N84" i="1"/>
  <c r="O84" i="1" s="1"/>
  <c r="F84" i="1"/>
  <c r="E84" i="1"/>
  <c r="Y84" i="1" s="1"/>
  <c r="X84" i="1" s="1"/>
  <c r="C84" i="1"/>
  <c r="N83" i="1"/>
  <c r="O83" i="1" s="1"/>
  <c r="F83" i="1"/>
  <c r="E83" i="1"/>
  <c r="Y83" i="1" s="1"/>
  <c r="X83" i="1" s="1"/>
  <c r="C83" i="1"/>
  <c r="Q82" i="1"/>
  <c r="N82" i="1"/>
  <c r="O82" i="1" s="1"/>
  <c r="F82" i="1"/>
  <c r="E82" i="1"/>
  <c r="Y82" i="1" s="1"/>
  <c r="X82" i="1" s="1"/>
  <c r="C82" i="1"/>
  <c r="N81" i="1"/>
  <c r="O81" i="1" s="1"/>
  <c r="F81" i="1"/>
  <c r="E81" i="1"/>
  <c r="Y81" i="1" s="1"/>
  <c r="X81" i="1" s="1"/>
  <c r="C81" i="1"/>
  <c r="N80" i="1"/>
  <c r="O80" i="1" s="1"/>
  <c r="F80" i="1"/>
  <c r="E80" i="1"/>
  <c r="Y80" i="1" s="1"/>
  <c r="X80" i="1" s="1"/>
  <c r="C80" i="1"/>
  <c r="N79" i="1"/>
  <c r="O79" i="1" s="1"/>
  <c r="F79" i="1"/>
  <c r="E79" i="1"/>
  <c r="Y79" i="1" s="1"/>
  <c r="X79" i="1" s="1"/>
  <c r="C79" i="1"/>
  <c r="N78" i="1"/>
  <c r="O78" i="1" s="1"/>
  <c r="F78" i="1"/>
  <c r="E78" i="1"/>
  <c r="Y78" i="1" s="1"/>
  <c r="X78" i="1" s="1"/>
  <c r="C78" i="1"/>
  <c r="N77" i="1"/>
  <c r="O77" i="1" s="1"/>
  <c r="F77" i="1"/>
  <c r="E77" i="1"/>
  <c r="Y77" i="1" s="1"/>
  <c r="X77" i="1" s="1"/>
  <c r="C77" i="1"/>
  <c r="N76" i="1"/>
  <c r="O76" i="1" s="1"/>
  <c r="F76" i="1"/>
  <c r="E76" i="1"/>
  <c r="Y76" i="1" s="1"/>
  <c r="X76" i="1" s="1"/>
  <c r="C76" i="1"/>
  <c r="N75" i="1"/>
  <c r="O75" i="1" s="1"/>
  <c r="F75" i="1"/>
  <c r="E75" i="1"/>
  <c r="Y75" i="1" s="1"/>
  <c r="X75" i="1" s="1"/>
  <c r="C75" i="1"/>
  <c r="N74" i="1"/>
  <c r="O74" i="1" s="1"/>
  <c r="F74" i="1"/>
  <c r="E74" i="1"/>
  <c r="Y74" i="1" s="1"/>
  <c r="X74" i="1" s="1"/>
  <c r="C74" i="1"/>
  <c r="N73" i="1"/>
  <c r="O73" i="1" s="1"/>
  <c r="F73" i="1"/>
  <c r="E73" i="1"/>
  <c r="Y73" i="1" s="1"/>
  <c r="X73" i="1" s="1"/>
  <c r="C73" i="1"/>
  <c r="N72" i="1"/>
  <c r="O72" i="1" s="1"/>
  <c r="F72" i="1"/>
  <c r="E72" i="1"/>
  <c r="Y72" i="1" s="1"/>
  <c r="X72" i="1" s="1"/>
  <c r="C72" i="1"/>
  <c r="N71" i="1"/>
  <c r="O71" i="1" s="1"/>
  <c r="F71" i="1"/>
  <c r="E71" i="1"/>
  <c r="Y71" i="1" s="1"/>
  <c r="X71" i="1" s="1"/>
  <c r="C71" i="1"/>
  <c r="N70" i="1"/>
  <c r="O70" i="1" s="1"/>
  <c r="F70" i="1"/>
  <c r="E70" i="1"/>
  <c r="Y70" i="1" s="1"/>
  <c r="X70" i="1" s="1"/>
  <c r="C70" i="1"/>
  <c r="N69" i="1"/>
  <c r="O69" i="1" s="1"/>
  <c r="F69" i="1"/>
  <c r="E69" i="1"/>
  <c r="Y69" i="1" s="1"/>
  <c r="X69" i="1" s="1"/>
  <c r="C69" i="1"/>
  <c r="N68" i="1"/>
  <c r="O68" i="1" s="1"/>
  <c r="F68" i="1"/>
  <c r="E68" i="1"/>
  <c r="Y68" i="1" s="1"/>
  <c r="X68" i="1" s="1"/>
  <c r="C68" i="1"/>
  <c r="N67" i="1"/>
  <c r="O67" i="1" s="1"/>
  <c r="F67" i="1"/>
  <c r="E67" i="1"/>
  <c r="Y67" i="1" s="1"/>
  <c r="X67" i="1" s="1"/>
  <c r="C67" i="1"/>
  <c r="N66" i="1"/>
  <c r="O66" i="1" s="1"/>
  <c r="F66" i="1"/>
  <c r="E66" i="1"/>
  <c r="Y66" i="1" s="1"/>
  <c r="X66" i="1" s="1"/>
  <c r="C66" i="1"/>
  <c r="N65" i="1"/>
  <c r="O65" i="1" s="1"/>
  <c r="F65" i="1"/>
  <c r="E65" i="1"/>
  <c r="Y65" i="1" s="1"/>
  <c r="X65" i="1" s="1"/>
  <c r="C65" i="1"/>
  <c r="N64" i="1"/>
  <c r="O64" i="1" s="1"/>
  <c r="F64" i="1"/>
  <c r="E64" i="1"/>
  <c r="Y64" i="1" s="1"/>
  <c r="X64" i="1" s="1"/>
  <c r="C64" i="1"/>
  <c r="N63" i="1"/>
  <c r="O63" i="1" s="1"/>
  <c r="F63" i="1"/>
  <c r="E63" i="1"/>
  <c r="Y63" i="1" s="1"/>
  <c r="X63" i="1" s="1"/>
  <c r="C63" i="1"/>
  <c r="N62" i="1"/>
  <c r="O62" i="1" s="1"/>
  <c r="F62" i="1"/>
  <c r="E62" i="1"/>
  <c r="Y62" i="1" s="1"/>
  <c r="X62" i="1" s="1"/>
  <c r="C62" i="1"/>
  <c r="N61" i="1"/>
  <c r="O61" i="1" s="1"/>
  <c r="F61" i="1"/>
  <c r="E61" i="1"/>
  <c r="Y61" i="1" s="1"/>
  <c r="X61" i="1" s="1"/>
  <c r="C61" i="1"/>
  <c r="N60" i="1"/>
  <c r="O60" i="1" s="1"/>
  <c r="F60" i="1"/>
  <c r="E60" i="1"/>
  <c r="Y60" i="1" s="1"/>
  <c r="X60" i="1" s="1"/>
  <c r="C60" i="1"/>
  <c r="N59" i="1"/>
  <c r="O59" i="1" s="1"/>
  <c r="F59" i="1"/>
  <c r="E59" i="1"/>
  <c r="Y59" i="1" s="1"/>
  <c r="X59" i="1" s="1"/>
  <c r="C59" i="1"/>
  <c r="N58" i="1"/>
  <c r="O58" i="1" s="1"/>
  <c r="F58" i="1"/>
  <c r="E58" i="1"/>
  <c r="Y58" i="1" s="1"/>
  <c r="X58" i="1" s="1"/>
  <c r="C58" i="1"/>
  <c r="N57" i="1"/>
  <c r="O57" i="1" s="1"/>
  <c r="F57" i="1"/>
  <c r="E57" i="1"/>
  <c r="Y57" i="1" s="1"/>
  <c r="X57" i="1" s="1"/>
  <c r="C57" i="1"/>
  <c r="N56" i="1"/>
  <c r="O56" i="1" s="1"/>
  <c r="F56" i="1"/>
  <c r="E56" i="1"/>
  <c r="Y56" i="1" s="1"/>
  <c r="X56" i="1" s="1"/>
  <c r="C56" i="1"/>
  <c r="N55" i="1"/>
  <c r="O55" i="1" s="1"/>
  <c r="F55" i="1"/>
  <c r="E55" i="1"/>
  <c r="Y55" i="1" s="1"/>
  <c r="X55" i="1" s="1"/>
  <c r="C55" i="1"/>
  <c r="N54" i="1"/>
  <c r="O54" i="1" s="1"/>
  <c r="F54" i="1"/>
  <c r="E54" i="1"/>
  <c r="Y54" i="1" s="1"/>
  <c r="X54" i="1" s="1"/>
  <c r="C54" i="1"/>
  <c r="N53" i="1"/>
  <c r="O53" i="1" s="1"/>
  <c r="F53" i="1"/>
  <c r="E53" i="1"/>
  <c r="Y53" i="1" s="1"/>
  <c r="X53" i="1" s="1"/>
  <c r="C53" i="1"/>
  <c r="N52" i="1"/>
  <c r="O52" i="1" s="1"/>
  <c r="F52" i="1"/>
  <c r="E52" i="1"/>
  <c r="Y52" i="1" s="1"/>
  <c r="X52" i="1" s="1"/>
  <c r="C52" i="1"/>
  <c r="N51" i="1"/>
  <c r="O51" i="1" s="1"/>
  <c r="F51" i="1"/>
  <c r="E51" i="1"/>
  <c r="Y51" i="1" s="1"/>
  <c r="X51" i="1" s="1"/>
  <c r="C51" i="1"/>
  <c r="N50" i="1"/>
  <c r="O50" i="1" s="1"/>
  <c r="F50" i="1"/>
  <c r="E50" i="1"/>
  <c r="Y50" i="1" s="1"/>
  <c r="X50" i="1" s="1"/>
  <c r="C50" i="1"/>
  <c r="N49" i="1"/>
  <c r="O49" i="1" s="1"/>
  <c r="F49" i="1"/>
  <c r="E49" i="1"/>
  <c r="Y49" i="1" s="1"/>
  <c r="X49" i="1" s="1"/>
  <c r="C49" i="1"/>
  <c r="N48" i="1"/>
  <c r="O48" i="1" s="1"/>
  <c r="F48" i="1"/>
  <c r="E48" i="1"/>
  <c r="Y48" i="1" s="1"/>
  <c r="X48" i="1" s="1"/>
  <c r="C48" i="1"/>
  <c r="N47" i="1"/>
  <c r="O47" i="1" s="1"/>
  <c r="F47" i="1"/>
  <c r="E47" i="1"/>
  <c r="Y47" i="1" s="1"/>
  <c r="X47" i="1" s="1"/>
  <c r="C47" i="1"/>
  <c r="N46" i="1"/>
  <c r="O46" i="1" s="1"/>
  <c r="F46" i="1"/>
  <c r="E46" i="1"/>
  <c r="Y46" i="1" s="1"/>
  <c r="X46" i="1" s="1"/>
  <c r="C46" i="1"/>
  <c r="N45" i="1"/>
  <c r="O45" i="1" s="1"/>
  <c r="F45" i="1"/>
  <c r="E45" i="1"/>
  <c r="Y45" i="1" s="1"/>
  <c r="X45" i="1" s="1"/>
  <c r="C45" i="1"/>
  <c r="N44" i="1"/>
  <c r="O44" i="1" s="1"/>
  <c r="F44" i="1"/>
  <c r="E44" i="1"/>
  <c r="Y44" i="1" s="1"/>
  <c r="X44" i="1" s="1"/>
  <c r="C44" i="1"/>
  <c r="N43" i="1"/>
  <c r="O43" i="1" s="1"/>
  <c r="F43" i="1"/>
  <c r="E43" i="1"/>
  <c r="Y43" i="1" s="1"/>
  <c r="X43" i="1" s="1"/>
  <c r="C43" i="1"/>
  <c r="N42" i="1"/>
  <c r="O42" i="1" s="1"/>
  <c r="F42" i="1"/>
  <c r="E42" i="1"/>
  <c r="Y42" i="1" s="1"/>
  <c r="X42" i="1" s="1"/>
  <c r="C42" i="1"/>
  <c r="N41" i="1"/>
  <c r="O41" i="1" s="1"/>
  <c r="F41" i="1"/>
  <c r="E41" i="1"/>
  <c r="Y41" i="1" s="1"/>
  <c r="X41" i="1" s="1"/>
  <c r="C41" i="1"/>
  <c r="N40" i="1"/>
  <c r="O40" i="1" s="1"/>
  <c r="F40" i="1"/>
  <c r="E40" i="1"/>
  <c r="Y40" i="1" s="1"/>
  <c r="X40" i="1" s="1"/>
  <c r="C40" i="1"/>
  <c r="Y39" i="1"/>
  <c r="X39" i="1" s="1"/>
  <c r="S39" i="1"/>
  <c r="R39" i="1"/>
  <c r="N39" i="1"/>
  <c r="O39" i="1" s="1"/>
  <c r="F39" i="1"/>
  <c r="E39" i="1"/>
  <c r="C39" i="1"/>
  <c r="N38" i="1"/>
  <c r="O38" i="1" s="1"/>
  <c r="F38" i="1"/>
  <c r="E38" i="1"/>
  <c r="Y38" i="1" s="1"/>
  <c r="X38" i="1" s="1"/>
  <c r="C38" i="1"/>
  <c r="N37" i="1"/>
  <c r="O37" i="1" s="1"/>
  <c r="F37" i="1"/>
  <c r="E37" i="1"/>
  <c r="Y37" i="1" s="1"/>
  <c r="X37" i="1" s="1"/>
  <c r="C37" i="1"/>
  <c r="N36" i="1"/>
  <c r="O36" i="1" s="1"/>
  <c r="F36" i="1"/>
  <c r="E36" i="1"/>
  <c r="Y36" i="1" s="1"/>
  <c r="X36" i="1" s="1"/>
  <c r="C36" i="1"/>
  <c r="N35" i="1"/>
  <c r="O35" i="1" s="1"/>
  <c r="F35" i="1"/>
  <c r="E35" i="1"/>
  <c r="Y35" i="1" s="1"/>
  <c r="X35" i="1" s="1"/>
  <c r="C35" i="1"/>
  <c r="N34" i="1"/>
  <c r="O34" i="1" s="1"/>
  <c r="F34" i="1"/>
  <c r="E34" i="1"/>
  <c r="Y34" i="1" s="1"/>
  <c r="X34" i="1" s="1"/>
  <c r="C34" i="1"/>
  <c r="N33" i="1"/>
  <c r="O33" i="1" s="1"/>
  <c r="F33" i="1"/>
  <c r="E33" i="1"/>
  <c r="Y33" i="1" s="1"/>
  <c r="X33" i="1" s="1"/>
  <c r="C33" i="1"/>
  <c r="N32" i="1"/>
  <c r="O32" i="1" s="1"/>
  <c r="F32" i="1"/>
  <c r="E32" i="1"/>
  <c r="Y32" i="1" s="1"/>
  <c r="X32" i="1" s="1"/>
  <c r="C32" i="1"/>
  <c r="N31" i="1"/>
  <c r="O31" i="1" s="1"/>
  <c r="F31" i="1"/>
  <c r="E31" i="1"/>
  <c r="Y31" i="1" s="1"/>
  <c r="X31" i="1" s="1"/>
  <c r="C31" i="1"/>
  <c r="N30" i="1"/>
  <c r="O30" i="1" s="1"/>
  <c r="F30" i="1"/>
  <c r="E30" i="1"/>
  <c r="Y30" i="1" s="1"/>
  <c r="X30" i="1" s="1"/>
  <c r="C30" i="1"/>
  <c r="N29" i="1"/>
  <c r="O29" i="1" s="1"/>
  <c r="F29" i="1"/>
  <c r="E29" i="1"/>
  <c r="Y29" i="1" s="1"/>
  <c r="X29" i="1" s="1"/>
  <c r="C29" i="1"/>
  <c r="N28" i="1"/>
  <c r="O28" i="1" s="1"/>
  <c r="F28" i="1"/>
  <c r="E28" i="1"/>
  <c r="Y28" i="1" s="1"/>
  <c r="X28" i="1" s="1"/>
  <c r="C28" i="1"/>
  <c r="N27" i="1"/>
  <c r="O27" i="1" s="1"/>
  <c r="F27" i="1"/>
  <c r="E27" i="1"/>
  <c r="Y27" i="1" s="1"/>
  <c r="X27" i="1" s="1"/>
  <c r="C27" i="1"/>
  <c r="N26" i="1"/>
  <c r="O26" i="1" s="1"/>
  <c r="F26" i="1"/>
  <c r="E26" i="1"/>
  <c r="Y26" i="1" s="1"/>
  <c r="X26" i="1" s="1"/>
  <c r="C26" i="1"/>
  <c r="N25" i="1"/>
  <c r="O25" i="1" s="1"/>
  <c r="F25" i="1"/>
  <c r="E25" i="1"/>
  <c r="Y25" i="1" s="1"/>
  <c r="X25" i="1" s="1"/>
  <c r="C25" i="1"/>
  <c r="N24" i="1"/>
  <c r="O24" i="1" s="1"/>
  <c r="F24" i="1"/>
  <c r="E24" i="1"/>
  <c r="Y24" i="1" s="1"/>
  <c r="X24" i="1" s="1"/>
  <c r="C24" i="1"/>
  <c r="N23" i="1"/>
  <c r="O23" i="1" s="1"/>
  <c r="F23" i="1"/>
  <c r="E23" i="1"/>
  <c r="Y23" i="1" s="1"/>
  <c r="X23" i="1" s="1"/>
  <c r="C23" i="1"/>
  <c r="N22" i="1"/>
  <c r="O22" i="1" s="1"/>
  <c r="F22" i="1"/>
  <c r="E22" i="1"/>
  <c r="Y22" i="1" s="1"/>
  <c r="X22" i="1" s="1"/>
  <c r="C22" i="1"/>
  <c r="N21" i="1"/>
  <c r="O21" i="1" s="1"/>
  <c r="F21" i="1"/>
  <c r="E21" i="1"/>
  <c r="Y21" i="1" s="1"/>
  <c r="X21" i="1" s="1"/>
  <c r="C21" i="1"/>
  <c r="N20" i="1"/>
  <c r="O20" i="1" s="1"/>
  <c r="F20" i="1"/>
  <c r="E20" i="1"/>
  <c r="Y20" i="1" s="1"/>
  <c r="X20" i="1" s="1"/>
  <c r="C20" i="1"/>
  <c r="N19" i="1"/>
  <c r="O19" i="1" s="1"/>
  <c r="F19" i="1"/>
  <c r="E19" i="1"/>
  <c r="Y19" i="1" s="1"/>
  <c r="X19" i="1" s="1"/>
  <c r="C19" i="1"/>
  <c r="N18" i="1"/>
  <c r="O18" i="1" s="1"/>
  <c r="F18" i="1"/>
  <c r="E18" i="1"/>
  <c r="Y18" i="1" s="1"/>
  <c r="X18" i="1" s="1"/>
  <c r="C18" i="1"/>
  <c r="N17" i="1"/>
  <c r="O17" i="1" s="1"/>
  <c r="F17" i="1"/>
  <c r="E17" i="1"/>
  <c r="Y17" i="1" s="1"/>
  <c r="X17" i="1" s="1"/>
  <c r="C17" i="1"/>
  <c r="N16" i="1"/>
  <c r="O16" i="1" s="1"/>
  <c r="F16" i="1"/>
  <c r="E16" i="1"/>
  <c r="Y16" i="1" s="1"/>
  <c r="X16" i="1" s="1"/>
  <c r="C16" i="1"/>
  <c r="N15" i="1"/>
  <c r="O15" i="1" s="1"/>
  <c r="F15" i="1"/>
  <c r="E15" i="1"/>
  <c r="Y15" i="1" s="1"/>
  <c r="X15" i="1" s="1"/>
  <c r="C15" i="1"/>
  <c r="N14" i="1"/>
  <c r="O14" i="1" s="1"/>
  <c r="F14" i="1"/>
  <c r="E14" i="1"/>
  <c r="Y14" i="1" s="1"/>
  <c r="X14" i="1" s="1"/>
  <c r="C14" i="1"/>
  <c r="N13" i="1"/>
  <c r="O13" i="1" s="1"/>
  <c r="F13" i="1"/>
  <c r="E13" i="1"/>
  <c r="Y13" i="1" s="1"/>
  <c r="X13" i="1" s="1"/>
  <c r="C13" i="1"/>
  <c r="N12" i="1"/>
  <c r="O12" i="1" s="1"/>
  <c r="F12" i="1"/>
  <c r="E12" i="1"/>
  <c r="Y12" i="1" s="1"/>
  <c r="X12" i="1" s="1"/>
  <c r="C12" i="1"/>
  <c r="N11" i="1"/>
  <c r="O11" i="1" s="1"/>
  <c r="F11" i="1"/>
  <c r="E11" i="1"/>
  <c r="Y11" i="1" s="1"/>
  <c r="X11" i="1" s="1"/>
  <c r="C11" i="1"/>
  <c r="N10" i="1"/>
  <c r="O10" i="1" s="1"/>
  <c r="F10" i="1"/>
  <c r="E10" i="1"/>
  <c r="Y10" i="1" s="1"/>
  <c r="X10" i="1" s="1"/>
  <c r="C10" i="1"/>
  <c r="N9" i="1"/>
  <c r="O9" i="1" s="1"/>
  <c r="F9" i="1"/>
  <c r="E9" i="1"/>
  <c r="Y9" i="1" s="1"/>
  <c r="X9" i="1" s="1"/>
  <c r="C9" i="1"/>
  <c r="N8" i="1"/>
  <c r="O8" i="1" s="1"/>
  <c r="F8" i="1"/>
  <c r="E8" i="1"/>
  <c r="Y8" i="1" s="1"/>
  <c r="X8" i="1" s="1"/>
  <c r="C8" i="1"/>
  <c r="N7" i="1"/>
  <c r="O7" i="1" s="1"/>
  <c r="F7" i="1"/>
  <c r="E7" i="1"/>
  <c r="Y7" i="1" s="1"/>
  <c r="X7" i="1" s="1"/>
  <c r="C7" i="1"/>
  <c r="R6" i="1"/>
  <c r="N6" i="1"/>
  <c r="O6" i="1" s="1"/>
  <c r="F6" i="1"/>
  <c r="E6" i="1"/>
  <c r="Y6" i="1" s="1"/>
  <c r="X6" i="1" s="1"/>
  <c r="C6" i="1"/>
  <c r="N5" i="1"/>
  <c r="O5" i="1" s="1"/>
  <c r="F5" i="1"/>
  <c r="E5" i="1"/>
  <c r="Y5" i="1" s="1"/>
  <c r="X5" i="1" s="1"/>
  <c r="C5" i="1"/>
  <c r="S4" i="1"/>
  <c r="N4" i="1"/>
  <c r="O4" i="1" s="1"/>
  <c r="F4" i="1"/>
  <c r="E4" i="1"/>
  <c r="Y4" i="1" s="1"/>
  <c r="X4" i="1" s="1"/>
  <c r="C4" i="1"/>
  <c r="N3" i="1"/>
  <c r="O3" i="1" s="1"/>
  <c r="F3" i="1"/>
  <c r="E3" i="1"/>
  <c r="Y3" i="1" s="1"/>
  <c r="X3" i="1" s="1"/>
  <c r="C3" i="1"/>
  <c r="N2" i="1"/>
  <c r="O2" i="1" s="1"/>
  <c r="F2" i="1"/>
  <c r="E2" i="1"/>
  <c r="Y2" i="1" s="1"/>
  <c r="X2" i="1" s="1"/>
  <c r="C2" i="1"/>
  <c r="R166" i="1" l="1"/>
  <c r="Q166" i="1"/>
  <c r="P166" i="1"/>
  <c r="S166" i="1"/>
  <c r="Q165" i="1"/>
  <c r="P165" i="1"/>
  <c r="R165" i="1"/>
  <c r="S165" i="1"/>
  <c r="Q164" i="1"/>
  <c r="R164" i="1"/>
  <c r="S164" i="1"/>
  <c r="P164" i="1"/>
  <c r="R163" i="1"/>
  <c r="Q163" i="1"/>
  <c r="P163" i="1"/>
  <c r="S163" i="1"/>
  <c r="R162" i="1"/>
  <c r="S162" i="1"/>
  <c r="Q162" i="1"/>
  <c r="P162" i="1"/>
  <c r="R161" i="1"/>
  <c r="Q161" i="1"/>
  <c r="P161" i="1"/>
  <c r="S160" i="1"/>
  <c r="R160" i="1"/>
  <c r="P160" i="1"/>
  <c r="Q160" i="1"/>
  <c r="R159" i="1"/>
  <c r="P159" i="1"/>
  <c r="S159" i="1"/>
  <c r="Q159" i="1"/>
  <c r="S158" i="1"/>
  <c r="R158" i="1"/>
  <c r="P158" i="1"/>
  <c r="Q158" i="1"/>
  <c r="P157" i="1"/>
  <c r="R157" i="1"/>
  <c r="Q157" i="1"/>
  <c r="S157" i="1"/>
  <c r="P156" i="1"/>
  <c r="R156" i="1"/>
  <c r="S156" i="1"/>
  <c r="Q156" i="1"/>
  <c r="R155" i="1"/>
  <c r="P155" i="1"/>
  <c r="Q155" i="1"/>
  <c r="S155" i="1"/>
  <c r="Q154" i="1"/>
  <c r="S154" i="1"/>
  <c r="P154" i="1"/>
  <c r="R154" i="1"/>
  <c r="S153" i="1"/>
  <c r="Q153" i="1"/>
  <c r="P153" i="1"/>
  <c r="R153" i="1"/>
  <c r="P152" i="1"/>
  <c r="R152" i="1"/>
  <c r="S152" i="1"/>
  <c r="Q152" i="1"/>
  <c r="R151" i="1"/>
  <c r="P151" i="1"/>
  <c r="S151" i="1"/>
  <c r="Q151" i="1"/>
  <c r="R150" i="1"/>
  <c r="P150" i="1"/>
  <c r="S150" i="1"/>
  <c r="Q150" i="1"/>
  <c r="Q149" i="1"/>
  <c r="R149" i="1"/>
  <c r="S149" i="1"/>
  <c r="P149" i="1"/>
  <c r="Q148" i="1"/>
  <c r="R148" i="1"/>
  <c r="P148" i="1"/>
  <c r="S147" i="1"/>
  <c r="Q147" i="1"/>
  <c r="P147" i="1"/>
  <c r="R147" i="1"/>
  <c r="S146" i="1"/>
  <c r="Q146" i="1"/>
  <c r="P146" i="1"/>
  <c r="R146" i="1"/>
  <c r="S145" i="1"/>
  <c r="Q145" i="1"/>
  <c r="R145" i="1"/>
  <c r="P145" i="1"/>
  <c r="Q144" i="1"/>
  <c r="P144" i="1"/>
  <c r="S144" i="1"/>
  <c r="R144" i="1"/>
  <c r="Q143" i="1"/>
  <c r="R143" i="1"/>
  <c r="P143" i="1"/>
  <c r="S143" i="1"/>
  <c r="S142" i="1"/>
  <c r="P142" i="1"/>
  <c r="Q142" i="1"/>
  <c r="R142" i="1"/>
  <c r="P141" i="1"/>
  <c r="Q141" i="1"/>
  <c r="S141" i="1"/>
  <c r="R141" i="1"/>
  <c r="R140" i="1"/>
  <c r="S140" i="1"/>
  <c r="P140" i="1"/>
  <c r="Q140" i="1"/>
  <c r="R139" i="1"/>
  <c r="S139" i="1"/>
  <c r="Q139" i="1"/>
  <c r="P139" i="1"/>
  <c r="S138" i="1"/>
  <c r="R138" i="1"/>
  <c r="P138" i="1"/>
  <c r="Q138" i="1"/>
  <c r="Q137" i="1"/>
  <c r="R137" i="1"/>
  <c r="S137" i="1"/>
  <c r="P137" i="1"/>
  <c r="P136" i="1"/>
  <c r="R136" i="1"/>
  <c r="Q136" i="1"/>
  <c r="S136" i="1"/>
  <c r="S135" i="1"/>
  <c r="P135" i="1"/>
  <c r="Q135" i="1"/>
  <c r="R135" i="1"/>
  <c r="P134" i="1"/>
  <c r="S134" i="1"/>
  <c r="R134" i="1"/>
  <c r="Q134" i="1"/>
  <c r="R133" i="1"/>
  <c r="S133" i="1"/>
  <c r="P133" i="1"/>
  <c r="Q133" i="1"/>
  <c r="R132" i="1"/>
  <c r="S132" i="1"/>
  <c r="Q132" i="1"/>
  <c r="P132" i="1"/>
  <c r="Q131" i="1"/>
  <c r="R131" i="1"/>
  <c r="P131" i="1"/>
  <c r="S131" i="1"/>
  <c r="P130" i="1"/>
  <c r="R130" i="1"/>
  <c r="S130" i="1"/>
  <c r="Q130" i="1"/>
  <c r="P129" i="1"/>
  <c r="S129" i="1"/>
  <c r="R129" i="1"/>
  <c r="Q129" i="1"/>
  <c r="S128" i="1"/>
  <c r="R128" i="1"/>
  <c r="P128" i="1"/>
  <c r="Q128" i="1"/>
  <c r="R127" i="1"/>
  <c r="Q127" i="1"/>
  <c r="S127" i="1"/>
  <c r="P127" i="1"/>
  <c r="R126" i="1"/>
  <c r="S126" i="1"/>
  <c r="P126" i="1"/>
  <c r="Q126" i="1"/>
  <c r="P125" i="1"/>
  <c r="R125" i="1"/>
  <c r="S125" i="1"/>
  <c r="Q125" i="1"/>
  <c r="R124" i="1"/>
  <c r="S124" i="1"/>
  <c r="P124" i="1"/>
  <c r="S123" i="1"/>
  <c r="Q123" i="1"/>
  <c r="R123" i="1"/>
  <c r="P123" i="1"/>
  <c r="R122" i="1"/>
  <c r="P122" i="1"/>
  <c r="S122" i="1"/>
  <c r="Q122" i="1"/>
  <c r="S121" i="1"/>
  <c r="Q121" i="1"/>
  <c r="R121" i="1"/>
  <c r="P121" i="1"/>
  <c r="S120" i="1"/>
  <c r="P120" i="1"/>
  <c r="R120" i="1"/>
  <c r="Q120" i="1"/>
  <c r="S119" i="1"/>
  <c r="Q119" i="1"/>
  <c r="P119" i="1"/>
  <c r="R119" i="1"/>
  <c r="S118" i="1"/>
  <c r="Q118" i="1"/>
  <c r="R118" i="1"/>
  <c r="P118" i="1"/>
  <c r="Q117" i="1"/>
  <c r="R117" i="1"/>
  <c r="S117" i="1"/>
  <c r="P117" i="1"/>
  <c r="R116" i="1"/>
  <c r="S116" i="1"/>
  <c r="P116" i="1"/>
  <c r="Q116" i="1"/>
  <c r="R115" i="1"/>
  <c r="Q115" i="1"/>
  <c r="P115" i="1"/>
  <c r="S115" i="1"/>
  <c r="S114" i="1"/>
  <c r="P114" i="1"/>
  <c r="Q114" i="1"/>
  <c r="R114" i="1"/>
  <c r="Q113" i="1"/>
  <c r="R113" i="1"/>
  <c r="P113" i="1"/>
  <c r="S113" i="1"/>
  <c r="S112" i="1"/>
  <c r="R112" i="1"/>
  <c r="Q112" i="1"/>
  <c r="P112" i="1"/>
  <c r="R111" i="1"/>
  <c r="P111" i="1"/>
  <c r="Q111" i="1"/>
  <c r="S111" i="1"/>
  <c r="Q110" i="1"/>
  <c r="S110" i="1"/>
  <c r="P110" i="1"/>
  <c r="R110" i="1"/>
  <c r="S109" i="1"/>
  <c r="Q109" i="1"/>
  <c r="R109" i="1"/>
  <c r="P109" i="1"/>
  <c r="P108" i="1"/>
  <c r="Q108" i="1"/>
  <c r="S108" i="1"/>
  <c r="R108" i="1"/>
  <c r="S107" i="1"/>
  <c r="Q107" i="1"/>
  <c r="R107" i="1"/>
  <c r="P107" i="1"/>
  <c r="R106" i="1"/>
  <c r="P106" i="1"/>
  <c r="Q106" i="1"/>
  <c r="S106" i="1"/>
  <c r="P105" i="1"/>
  <c r="R105" i="1"/>
  <c r="Q105" i="1"/>
  <c r="S105" i="1"/>
  <c r="P104" i="1"/>
  <c r="S104" i="1"/>
  <c r="Q104" i="1"/>
  <c r="R104" i="1"/>
  <c r="R103" i="1"/>
  <c r="P103" i="1"/>
  <c r="Q103" i="1"/>
  <c r="S103" i="1"/>
  <c r="S102" i="1"/>
  <c r="P102" i="1"/>
  <c r="Q102" i="1"/>
  <c r="R102" i="1"/>
  <c r="R101" i="1"/>
  <c r="P101" i="1"/>
  <c r="Q101" i="1"/>
  <c r="S101" i="1"/>
  <c r="P100" i="1"/>
  <c r="Q100" i="1"/>
  <c r="S100" i="1"/>
  <c r="R100" i="1"/>
  <c r="P99" i="1"/>
  <c r="R99" i="1"/>
  <c r="S99" i="1"/>
  <c r="Q99" i="1"/>
  <c r="Q98" i="1"/>
  <c r="R98" i="1"/>
  <c r="P98" i="1"/>
  <c r="S98" i="1"/>
  <c r="Q97" i="1"/>
  <c r="R97" i="1"/>
  <c r="S97" i="1"/>
  <c r="P97" i="1"/>
  <c r="R96" i="1"/>
  <c r="P96" i="1"/>
  <c r="S96" i="1"/>
  <c r="Q96" i="1"/>
  <c r="P95" i="1"/>
  <c r="R95" i="1"/>
  <c r="Q95" i="1"/>
  <c r="S95" i="1"/>
  <c r="S94" i="1"/>
  <c r="R94" i="1"/>
  <c r="Q94" i="1"/>
  <c r="P94" i="1"/>
  <c r="Q93" i="1"/>
  <c r="S93" i="1"/>
  <c r="R93" i="1"/>
  <c r="P93" i="1"/>
  <c r="R92" i="1"/>
  <c r="Q92" i="1"/>
  <c r="P92" i="1"/>
  <c r="S92" i="1"/>
  <c r="P91" i="1"/>
  <c r="S91" i="1"/>
  <c r="R91" i="1"/>
  <c r="Q91" i="1"/>
  <c r="Q90" i="1"/>
  <c r="P90" i="1"/>
  <c r="R90" i="1"/>
  <c r="S90" i="1"/>
  <c r="Q89" i="1"/>
  <c r="S89" i="1"/>
  <c r="R89" i="1"/>
  <c r="P89" i="1"/>
  <c r="Q88" i="1"/>
  <c r="P88" i="1"/>
  <c r="R88" i="1"/>
  <c r="S88" i="1"/>
  <c r="P87" i="1"/>
  <c r="R87" i="1"/>
  <c r="S87" i="1"/>
  <c r="Q86" i="1"/>
  <c r="P86" i="1"/>
  <c r="S86" i="1"/>
  <c r="P85" i="1"/>
  <c r="R85" i="1"/>
  <c r="S85" i="1"/>
  <c r="Q85" i="1"/>
  <c r="Q84" i="1"/>
  <c r="R84" i="1"/>
  <c r="P84" i="1"/>
  <c r="S84" i="1"/>
  <c r="Q83" i="1"/>
  <c r="S83" i="1"/>
  <c r="P83" i="1"/>
  <c r="R83" i="1"/>
  <c r="P82" i="1"/>
  <c r="S82" i="1"/>
  <c r="R82" i="1"/>
  <c r="Q81" i="1"/>
  <c r="R81" i="1"/>
  <c r="S81" i="1"/>
  <c r="P81" i="1"/>
  <c r="S80" i="1"/>
  <c r="R80" i="1"/>
  <c r="P80" i="1"/>
  <c r="Q80" i="1"/>
  <c r="Q79" i="1"/>
  <c r="R79" i="1"/>
  <c r="S79" i="1"/>
  <c r="P79" i="1"/>
  <c r="S78" i="1"/>
  <c r="R78" i="1"/>
  <c r="P78" i="1"/>
  <c r="Q78" i="1"/>
  <c r="R77" i="1"/>
  <c r="P77" i="1"/>
  <c r="S77" i="1"/>
  <c r="Q77" i="1"/>
  <c r="P76" i="1"/>
  <c r="S76" i="1"/>
  <c r="Q76" i="1"/>
  <c r="R76" i="1"/>
  <c r="Q75" i="1"/>
  <c r="P75" i="1"/>
  <c r="S75" i="1"/>
  <c r="R75" i="1"/>
  <c r="S74" i="1"/>
  <c r="Q74" i="1"/>
  <c r="P74" i="1"/>
  <c r="R74" i="1"/>
  <c r="S73" i="1"/>
  <c r="P73" i="1"/>
  <c r="R73" i="1"/>
  <c r="Q73" i="1"/>
  <c r="Q72" i="1"/>
  <c r="P72" i="1"/>
  <c r="R72" i="1"/>
  <c r="S72" i="1"/>
  <c r="P71" i="1"/>
  <c r="R71" i="1"/>
  <c r="S71" i="1"/>
  <c r="Q71" i="1"/>
  <c r="Q70" i="1"/>
  <c r="P70" i="1"/>
  <c r="S70" i="1"/>
  <c r="R70" i="1"/>
  <c r="Q69" i="1"/>
  <c r="R69" i="1"/>
  <c r="S69" i="1"/>
  <c r="P69" i="1"/>
  <c r="Q68" i="1"/>
  <c r="R68" i="1"/>
  <c r="P68" i="1"/>
  <c r="S68" i="1"/>
  <c r="Q67" i="1"/>
  <c r="P67" i="1"/>
  <c r="R67" i="1"/>
  <c r="S67" i="1"/>
  <c r="R66" i="1"/>
  <c r="Q66" i="1"/>
  <c r="S66" i="1"/>
  <c r="P66" i="1"/>
  <c r="S65" i="1"/>
  <c r="R65" i="1"/>
  <c r="Q65" i="1"/>
  <c r="P65" i="1"/>
  <c r="R64" i="1"/>
  <c r="S64" i="1"/>
  <c r="P64" i="1"/>
  <c r="Q64" i="1"/>
  <c r="S63" i="1"/>
  <c r="Q63" i="1"/>
  <c r="P63" i="1"/>
  <c r="R63" i="1"/>
  <c r="P62" i="1"/>
  <c r="S62" i="1"/>
  <c r="Q62" i="1"/>
  <c r="R62" i="1"/>
  <c r="Q61" i="1"/>
  <c r="R61" i="1"/>
  <c r="S61" i="1"/>
  <c r="P61" i="1"/>
  <c r="P60" i="1"/>
  <c r="Q60" i="1"/>
  <c r="R60" i="1"/>
  <c r="S60" i="1"/>
  <c r="Q59" i="1"/>
  <c r="P59" i="1"/>
  <c r="S59" i="1"/>
  <c r="R59" i="1"/>
  <c r="P58" i="1"/>
  <c r="S58" i="1"/>
  <c r="Q58" i="1"/>
  <c r="R58" i="1"/>
  <c r="Q57" i="1"/>
  <c r="S57" i="1"/>
  <c r="P57" i="1"/>
  <c r="R57" i="1"/>
  <c r="Q56" i="1"/>
  <c r="S56" i="1"/>
  <c r="P56" i="1"/>
  <c r="R56" i="1"/>
  <c r="S55" i="1"/>
  <c r="Q55" i="1"/>
  <c r="P55" i="1"/>
  <c r="R55" i="1"/>
  <c r="S54" i="1"/>
  <c r="R54" i="1"/>
  <c r="P54" i="1"/>
  <c r="Q54" i="1"/>
  <c r="Q53" i="1"/>
  <c r="S53" i="1"/>
  <c r="P53" i="1"/>
  <c r="R53" i="1"/>
  <c r="S52" i="1"/>
  <c r="P52" i="1"/>
  <c r="Q52" i="1"/>
  <c r="R52" i="1"/>
  <c r="Q51" i="1"/>
  <c r="S51" i="1"/>
  <c r="P51" i="1"/>
  <c r="R51" i="1"/>
  <c r="S50" i="1"/>
  <c r="R50" i="1"/>
  <c r="P50" i="1"/>
  <c r="Q50" i="1"/>
  <c r="S49" i="1"/>
  <c r="Q49" i="1"/>
  <c r="R49" i="1"/>
  <c r="P49" i="1"/>
  <c r="P48" i="1"/>
  <c r="Q48" i="1"/>
  <c r="S48" i="1"/>
  <c r="R48" i="1"/>
  <c r="S47" i="1"/>
  <c r="P47" i="1"/>
  <c r="R47" i="1"/>
  <c r="Q47" i="1"/>
  <c r="R46" i="1"/>
  <c r="S46" i="1"/>
  <c r="P46" i="1"/>
  <c r="Q46" i="1"/>
  <c r="P45" i="1"/>
  <c r="Q45" i="1"/>
  <c r="S45" i="1"/>
  <c r="R45" i="1"/>
  <c r="R44" i="1"/>
  <c r="S44" i="1"/>
  <c r="P44" i="1"/>
  <c r="Q44" i="1"/>
  <c r="Q43" i="1"/>
  <c r="R43" i="1"/>
  <c r="S43" i="1"/>
  <c r="P43" i="1"/>
  <c r="R42" i="1"/>
  <c r="P42" i="1"/>
  <c r="Q42" i="1"/>
  <c r="S42" i="1"/>
  <c r="P41" i="1"/>
  <c r="Q41" i="1"/>
  <c r="S41" i="1"/>
  <c r="R41" i="1"/>
  <c r="R40" i="1"/>
  <c r="P40" i="1"/>
  <c r="Q40" i="1"/>
  <c r="S40" i="1"/>
  <c r="Q39" i="1"/>
  <c r="P39" i="1"/>
  <c r="R38" i="1"/>
  <c r="S38" i="1"/>
  <c r="Q38" i="1"/>
  <c r="P38" i="1"/>
  <c r="S37" i="1"/>
  <c r="Q37" i="1"/>
  <c r="P37" i="1"/>
  <c r="R37" i="1"/>
  <c r="Q36" i="1"/>
  <c r="S36" i="1"/>
  <c r="R36" i="1"/>
  <c r="P36" i="1"/>
  <c r="S35" i="1"/>
  <c r="R35" i="1"/>
  <c r="Q35" i="1"/>
  <c r="P35" i="1"/>
  <c r="R34" i="1"/>
  <c r="P34" i="1"/>
  <c r="Q34" i="1"/>
  <c r="S34" i="1"/>
  <c r="S33" i="1"/>
  <c r="P33" i="1"/>
  <c r="Q33" i="1"/>
  <c r="R33" i="1"/>
  <c r="P32" i="1"/>
  <c r="Q32" i="1"/>
  <c r="R32" i="1"/>
  <c r="S32" i="1"/>
  <c r="R31" i="1"/>
  <c r="Q31" i="1"/>
  <c r="S31" i="1"/>
  <c r="P31" i="1"/>
  <c r="R30" i="1"/>
  <c r="S30" i="1"/>
  <c r="Q30" i="1"/>
  <c r="P30" i="1"/>
  <c r="P29" i="1"/>
  <c r="Q29" i="1"/>
  <c r="S29" i="1"/>
  <c r="R29" i="1"/>
  <c r="S28" i="1"/>
  <c r="P28" i="1"/>
  <c r="Q28" i="1"/>
  <c r="R28" i="1"/>
  <c r="Q27" i="1"/>
  <c r="S27" i="1"/>
  <c r="R27" i="1"/>
  <c r="P27" i="1"/>
  <c r="P26" i="1"/>
  <c r="R26" i="1"/>
  <c r="Q26" i="1"/>
  <c r="S26" i="1"/>
  <c r="Q25" i="1"/>
  <c r="P25" i="1"/>
  <c r="S25" i="1"/>
  <c r="R25" i="1"/>
  <c r="S24" i="1"/>
  <c r="P24" i="1"/>
  <c r="Q24" i="1"/>
  <c r="R24" i="1"/>
  <c r="Q23" i="1"/>
  <c r="S23" i="1"/>
  <c r="R23" i="1"/>
  <c r="P23" i="1"/>
  <c r="R22" i="1"/>
  <c r="S22" i="1"/>
  <c r="Q22" i="1"/>
  <c r="P22" i="1"/>
  <c r="R21" i="1"/>
  <c r="S21" i="1"/>
  <c r="P21" i="1"/>
  <c r="Q21" i="1"/>
  <c r="R20" i="1"/>
  <c r="P20" i="1"/>
  <c r="Q20" i="1"/>
  <c r="S20" i="1"/>
  <c r="R19" i="1"/>
  <c r="S19" i="1"/>
  <c r="P19" i="1"/>
  <c r="Q19" i="1"/>
  <c r="S18" i="1"/>
  <c r="P18" i="1"/>
  <c r="Q18" i="1"/>
  <c r="R18" i="1"/>
  <c r="Q17" i="1"/>
  <c r="S17" i="1"/>
  <c r="R17" i="1"/>
  <c r="P17" i="1"/>
  <c r="P16" i="1"/>
  <c r="S16" i="1"/>
  <c r="Q16" i="1"/>
  <c r="R16" i="1"/>
  <c r="R15" i="1"/>
  <c r="P15" i="1"/>
  <c r="Q15" i="1"/>
  <c r="S15" i="1"/>
  <c r="R14" i="1"/>
  <c r="S14" i="1"/>
  <c r="Q14" i="1"/>
  <c r="P14" i="1"/>
  <c r="S13" i="1"/>
  <c r="P13" i="1"/>
  <c r="R13" i="1"/>
  <c r="Q13" i="1"/>
  <c r="R12" i="1"/>
  <c r="S12" i="1"/>
  <c r="Q12" i="1"/>
  <c r="P12" i="1"/>
  <c r="R11" i="1"/>
  <c r="Q11" i="1"/>
  <c r="S11" i="1"/>
  <c r="P11" i="1"/>
  <c r="S10" i="1"/>
  <c r="P10" i="1"/>
  <c r="R10" i="1"/>
  <c r="Q10" i="1"/>
  <c r="R9" i="1"/>
  <c r="P9" i="1"/>
  <c r="Q9" i="1"/>
  <c r="S9" i="1"/>
  <c r="S8" i="1"/>
  <c r="Q8" i="1"/>
  <c r="R8" i="1"/>
  <c r="P8" i="1"/>
  <c r="P7" i="1"/>
  <c r="R7" i="1"/>
  <c r="S7" i="1"/>
  <c r="Q7" i="1"/>
  <c r="P6" i="1"/>
  <c r="S6" i="1"/>
  <c r="Q6" i="1"/>
  <c r="Q5" i="1"/>
  <c r="R5" i="1"/>
  <c r="S5" i="1"/>
  <c r="P5" i="1"/>
  <c r="P4" i="1"/>
  <c r="R4" i="1"/>
  <c r="Q4" i="1"/>
  <c r="R3" i="1"/>
  <c r="P3" i="1"/>
  <c r="S3" i="1"/>
  <c r="Q3" i="1"/>
  <c r="P2" i="1"/>
  <c r="R2" i="1"/>
  <c r="Q2" i="1"/>
  <c r="S2" i="1"/>
</calcChain>
</file>

<file path=xl/sharedStrings.xml><?xml version="1.0" encoding="utf-8"?>
<sst xmlns="http://schemas.openxmlformats.org/spreadsheetml/2006/main" count="726" uniqueCount="201">
  <si>
    <t>year</t>
  </si>
  <si>
    <t>month</t>
  </si>
  <si>
    <t>mdate</t>
  </si>
  <si>
    <t>usdidr</t>
  </si>
  <si>
    <t>trade_bal_usdbn</t>
  </si>
  <si>
    <t>net_flows_idrtn</t>
  </si>
  <si>
    <t>fx_reserves_usdbn</t>
  </si>
  <si>
    <t>dxy</t>
  </si>
  <si>
    <t>ust10y_pct</t>
  </si>
  <si>
    <t>vix</t>
  </si>
  <si>
    <t>bi_rate_pct</t>
  </si>
  <si>
    <t>ff_lower_pct</t>
  </si>
  <si>
    <t>ff_upper_pct</t>
  </si>
  <si>
    <t>ff_mid_pct</t>
  </si>
  <si>
    <t>bi_ff_diff_pp</t>
  </si>
  <si>
    <t>rating_up</t>
  </si>
  <si>
    <t>rating_down</t>
  </si>
  <si>
    <t>outlook_up</t>
  </si>
  <si>
    <t>outlook_down</t>
  </si>
  <si>
    <t>exports_usdbn</t>
  </si>
  <si>
    <t>imports_usdbn</t>
  </si>
  <si>
    <t>bi_framework7d</t>
  </si>
  <si>
    <t>srbi_exists</t>
  </si>
  <si>
    <t>baseline_sample</t>
  </si>
  <si>
    <t>core_complete</t>
  </si>
  <si>
    <t>flow_saham_idrtn</t>
  </si>
  <si>
    <t>flow_sbn_idrtn</t>
  </si>
  <si>
    <t>flow_srbi_idrtn</t>
  </si>
  <si>
    <t>sbn_basis</t>
  </si>
  <si>
    <t>srbi_basis</t>
  </si>
  <si>
    <t>source_sheet_row</t>
  </si>
  <si>
    <t>IDGBFNBN daily source series</t>
  </si>
  <si>
    <t>Pra-SRBI</t>
  </si>
  <si>
    <t>Ownership</t>
  </si>
  <si>
    <t>DJPPR month-end nonresident holdings change</t>
  </si>
  <si>
    <t>event_date</t>
  </si>
  <si>
    <t>agency</t>
  </si>
  <si>
    <t>event_type</t>
  </si>
  <si>
    <t>rating_before</t>
  </si>
  <si>
    <t>rating_after</t>
  </si>
  <si>
    <t>outlook_before</t>
  </si>
  <si>
    <t>outlook_after</t>
  </si>
  <si>
    <t>source_url</t>
  </si>
  <si>
    <t>SP</t>
  </si>
  <si>
    <t>outlook_deterioration</t>
  </si>
  <si>
    <t>BB+</t>
  </si>
  <si>
    <t>Positive</t>
  </si>
  <si>
    <t>Stable</t>
  </si>
  <si>
    <t>https://www.bi.go.id/en/iru/economic-market-data/Documents/Indonesia%20Sovereign%20Rating%20-%20July%202026.pdf</t>
  </si>
  <si>
    <t>outlook_improvement</t>
  </si>
  <si>
    <t>Fitch</t>
  </si>
  <si>
    <t>BBB-</t>
  </si>
  <si>
    <t>Moodys</t>
  </si>
  <si>
    <t>Baa3</t>
  </si>
  <si>
    <t>rating_upgrade</t>
  </si>
  <si>
    <t>BBB</t>
  </si>
  <si>
    <t>Baa2</t>
  </si>
  <si>
    <t>Negative</t>
  </si>
  <si>
    <t>variable</t>
  </si>
  <si>
    <t>definition</t>
  </si>
  <si>
    <t>unit</t>
  </si>
  <si>
    <t>aggregation</t>
  </si>
  <si>
    <t>source</t>
  </si>
  <si>
    <t>reference</t>
  </si>
  <si>
    <t>coverage</t>
  </si>
  <si>
    <t>accessed_on</t>
  </si>
  <si>
    <t>notes</t>
  </si>
  <si>
    <t>year; month; mdate</t>
  </si>
  <si>
    <t>Tahun, bulan dan indeks waktu bulanan Stata</t>
  </si>
  <si>
    <t>year; month; Stata %tm</t>
  </si>
  <si>
    <t>Satu observasi per bulan</t>
  </si>
  <si>
    <t>Calendar / derived</t>
  </si>
  <si>
    <t>Stata monthly date: mdate=12*(year-1960)+month-1</t>
  </si>
  <si>
    <t>2013-01 to 2026-09</t>
  </si>
  <si>
    <t>2026-10-30</t>
  </si>
  <si>
    <t>Stata: format mdate %tm; tsset mdate. Tahun dan bulan berupa angka.</t>
  </si>
  <si>
    <t>Nilai tukar pasar USD/IDR; bukan JISDOR</t>
  </si>
  <si>
    <t>IDR per USD</t>
  </si>
  <si>
    <t>Nilai terakhir dalam bulan</t>
  </si>
  <si>
    <t>Bloomberg, file pengguna</t>
  </si>
  <si>
    <t>https://chatgpt.com/library?file_id=libfile_eda684a00c348191811a01c1828431f5&amp;account_id=personal</t>
  </si>
  <si>
    <t>Asset Market Updater - Stasis 21 oktober 2026 (1).xlsx | Currencies!A8:A9789 dan M8:M9789 | IDR REGN Curncy, PX_Last. JISDOR tidak berhasil diunduh: filter situs BI menolak akses. Tidak disambung dengan JISDOR.</t>
  </si>
  <si>
    <t>US Dollar Index</t>
  </si>
  <si>
    <t>index</t>
  </si>
  <si>
    <t>Asset Market Updater - Stasis 21 oktober 2026 (1).xlsx | Currencies!A8:A9789 dan G8:G9789 | DXY Curncy, PX_Last. Hari nonperdagangan dalam file dapat merupakan carry-forward.</t>
  </si>
  <si>
    <t>Yield US Treasury tenor 10 tahun</t>
  </si>
  <si>
    <t>percent</t>
  </si>
  <si>
    <t>Asset Market Updater - Stasis 21 oktober 2026 (1).xlsx | US Govt Bonds!A8:A9789 dan J8:J9789 | USGG10YR Index, PX_Last. Disimpan sebagai angka persen, contoh 4.25.</t>
  </si>
  <si>
    <t>Gabungan arus asing saham, SBN dan SRBI</t>
  </si>
  <si>
    <t>IDR trillion</t>
  </si>
  <si>
    <t>Jumlah tiga komponen bulanan</t>
  </si>
  <si>
    <t>File flows pengguna</t>
  </si>
  <si>
    <t>https://chatgpt.com/library?file_id=libfile_4f379503ed0c8191894cbcc3280ca4d3&amp;account_id=personal</t>
  </si>
  <si>
    <t>Grand_Capital_Flows_ACUAN (6).xlsx | Grand Flows: blok bulanan historis, baris dicatat di flow_components. Saham adalah transaksi neto. SBN/SRBI dapat berupa perubahan kepemilikan; agregat merupakan proksi flows ketiga pasar, bukan seluruh financial account. Positif = inflow neto; negatif = outflow neto. Yield Indonesia tidak dimasukkan.</t>
  </si>
  <si>
    <t>Net pembelian asing pasar saham</t>
  </si>
  <si>
    <t>Jumlah observasi harian dalam bulan</t>
  </si>
  <si>
    <t>Bloomberg/BEI di file pengguna</t>
  </si>
  <si>
    <t>Stocks Daily kolom A dan F; direkonsiliasi terhadap Grand Flows. Riwayat sebelum data BEI terbaru mengikuti seri acuan pengguna JASXNET$.</t>
  </si>
  <si>
    <t>Arus SBN seri pengguna / perubahan kepemilikan nonresiden</t>
  </si>
  <si>
    <t>2013-2025: jumlah seri harian; 2026: perubahan posisi akhir bulan</t>
  </si>
  <si>
    <t>Seri acuan pengguna / DJPPR</t>
  </si>
  <si>
    <t>SBN Daily kolom A dan G; bulanan 2026 mengikuti kontrol posisi DJPPR di file sumber. Perubahan posisi dapat mencakup jatuh tempo, bukan transaksi pasar sekunder murni.</t>
  </si>
  <si>
    <t>Perubahan posisi SRBI nonresiden</t>
  </si>
  <si>
    <t>Perubahan posisi akhir bulan</t>
  </si>
  <si>
    <t>Bank Indonesia melalui file pengguna</t>
  </si>
  <si>
    <t>2023-09 to 2026-09</t>
  </si>
  <si>
    <t>SRBI Monthly kolom O (flow terpilih), basis Ownership untuk seluruh bulan yang dipakai. Sebelum September 2023 = 0 karena instrumen belum ada. Data kosong setelah peluncuran tidak diganti nol.</t>
  </si>
  <si>
    <t>Ekspor barang Indonesia, FOB</t>
  </si>
  <si>
    <t>USD billion</t>
  </si>
  <si>
    <t>Total transaksi selama bulan</t>
  </si>
  <si>
    <t>Badan Pusat Statistik</t>
  </si>
  <si>
    <t>https://www.bps.go.id/id/statistics-table/2/MTk2IzI%3D/nilai-ekspor.html</t>
  </si>
  <si>
    <t>2013-01 to 2026-08</t>
  </si>
  <si>
    <t>Tabel dinamis 196, domain 0000, Indonesia 9999, turunan bulanan 1-12. Diambil per tahun 2013-2026. Angka asli juta USD dibagi 1000. September 2026 belum tersedia pada sumber saat akses.</t>
  </si>
  <si>
    <t>Impor barang Indonesia, CIF</t>
  </si>
  <si>
    <t>https://www.bps.go.id/id/statistics-table/2/NDk3IzI%3D/nilai-impor.html</t>
  </si>
  <si>
    <t>2015-01 to 2026-08</t>
  </si>
  <si>
    <t>Tabel dinamis 497, domain 0000, Indonesia 9999. Angka asli juta USD dibagi 1000. Tabel ini tidak memiliki 2013-2014.</t>
  </si>
  <si>
    <t>Impor barang Indonesia, CIF; pelengkap tahun awal</t>
  </si>
  <si>
    <t>IMF, International Trade in Goods</t>
  </si>
  <si>
    <t>https://api.imf.org/external/sdmx/2.1/data/ITG/IDN.MG..M?startPeriod=2013-01&amp;endPeriod=2015-12</t>
  </si>
  <si>
    <t>2013-01 to 2014-12</t>
  </si>
  <si>
    <t>Dipilih COUNTRY=IDN, INDICATOR=MG, TYPE_OF_TRANSFORMATION=CIF_USD, FREQUENCY=M. OBS_VALUE dalam USD dibagi 1e9. Sumber lebih bulat daripada tabel BPS. Overlap 2015 berbeda kurang dari USD1 juta per bulan; tidak digunakan mengganti BPS 2015 dan sesudahnya.</t>
  </si>
  <si>
    <t>Ekspor FOB dikurangi impor CIF</t>
  </si>
  <si>
    <t>exports_usdbn - imports_usdbn</t>
  </si>
  <si>
    <t>Derived from BPS / IMF ITG</t>
  </si>
  <si>
    <t>See exports_usdbn and imports_usdbn</t>
  </si>
  <si>
    <t>Neraca perdagangan barang berbasis statistik kepabeanan. Berbeda dari goods balance neraca pembayaran yang menggunakan penyesuaian dan basis FOB/FOB.</t>
  </si>
  <si>
    <t>Foreign currency reserves, IRFCL I.A.1</t>
  </si>
  <si>
    <t>Posisi akhir bulan</t>
  </si>
  <si>
    <t>IMF IRFCL, reported by country authorities</t>
  </si>
  <si>
    <t>https://api.imf.org/external/sdmx/2.1/data/IRFCL/IDN.IRFCLDT1_IRFCLCDCFC_USD.S1XS1311.M</t>
  </si>
  <si>
    <t>Seri IRFCLDT1_IRFCLCDCFC_USD, sektor S1XS1311. OBS_VALUE dalam USD dibagi 1e9. Konsep valuta asing termasuk surat berharga dan currency/deposits; tidak mencakup emas, SDR, posisi IMF atau other reserve assets yang terpisah. Angka merupakan stok bruto, bukan intervensi atau cadangan bersih.</t>
  </si>
  <si>
    <t>Foreign currency reserves, tambahan September 2026</t>
  </si>
  <si>
    <t>Bank Indonesia SDDS</t>
  </si>
  <si>
    <t>https://www.bi.go.id/id/statistik/sdds/default.aspx</t>
  </si>
  <si>
    <t>2026-09</t>
  </si>
  <si>
    <t>Baris Foreign currency reserves: USD125,187.37 juta = USD125.18737 miliar. Dibaca dari publikasi SDDS. Angka IMF Agustus USD124,668.18860868 juta cocok dengan SDDS Agustus USD124,668.19 juta setelah pembulatan.</t>
  </si>
  <si>
    <t>Cboe Volatility Index, close</t>
  </si>
  <si>
    <t>Close terakhir yang tersedia dalam bulan</t>
  </si>
  <si>
    <t>Cboe Global Markets</t>
  </si>
  <si>
    <t>https://cdn.cboe.com/api/global/us_indices/daily_prices/VIX_History.csv</t>
  </si>
  <si>
    <t>Sumber resmi VIX_History.csv, kolom DATE dan CLOSE. Data harian hari perdagangan, tanpa penjumlahan bulanan.</t>
  </si>
  <si>
    <t>Suku bunga kebijakan BI yang berlaku</t>
  </si>
  <si>
    <t>Akhir bulan</t>
  </si>
  <si>
    <t>BIS, sumber Bank Indonesia</t>
  </si>
  <si>
    <t>https://data.bis.org/static/bulk/WS_CBPOL_csv_col.zip</t>
  </si>
  <si>
    <t>WS_CBPOL_csv_col.csv, FREQ=M, REF_AREA=ID, Series=M:ID. Sebelum 19 Agustus 2016 menggunakan BI Rate; setelah itu BI 7-day reverse repo rate. Perubahan 6.5 ke 5.25 pada Agustus 2016 adalah pergantian instrumen, bukan pemangkasan kebijakan sebesar 125 bps.</t>
  </si>
  <si>
    <t>Batas bawah target Federal funds rate</t>
  </si>
  <si>
    <t>Nilai berlaku pada akhir bulan</t>
  </si>
  <si>
    <t>Federal Reserve Board via FRED</t>
  </si>
  <si>
    <t>https://fred.stlouisfed.org/graph/fredgraph.csv?id=DFEDTARL&amp;cosd=2013-01-01&amp;coed=2026-10-30</t>
  </si>
  <si>
    <t>Seri DFEDTARL; observasi harian termasuk akhir pekan. Disimpan sebagai angka persen, bukan fraksi.</t>
  </si>
  <si>
    <t>Batas atas target Federal funds rate</t>
  </si>
  <si>
    <t>https://fred.stlouisfed.org/graph/fredgraph.csv?id=DFEDTARU&amp;cosd=2013-01-01&amp;coed=2026-10-30</t>
  </si>
  <si>
    <t>Seri DFEDTARU; observasi harian termasuk akhir pekan. Disimpan sebagai angka persen, bukan fraksi.</t>
  </si>
  <si>
    <t>Titik tengah rentang target Federal funds rate</t>
  </si>
  <si>
    <t>(ff_lower_pct + ff_upper_pct) / 2</t>
  </si>
  <si>
    <t>Derived from Federal Reserve target range</t>
  </si>
  <si>
    <t>See ff_lower_pct and ff_upper_pct</t>
  </si>
  <si>
    <t>Bukan effective federal funds rate.</t>
  </si>
  <si>
    <t>Selisih suku bunga kebijakan BI dan AS</t>
  </si>
  <si>
    <t>percentage points</t>
  </si>
  <si>
    <t>bi_rate_pct - ff_mid_pct</t>
  </si>
  <si>
    <t>Derived</t>
  </si>
  <si>
    <t>See bi_rate_pct and ff_mid_pct</t>
  </si>
  <si>
    <t>Mengikuti pergantian instrumen BI pada Agustus 2016; bi_framework7d menandai batas tersebut.</t>
  </si>
  <si>
    <t>Peningkatan grade rating sovereign LTFC</t>
  </si>
  <si>
    <t>binary 0/1</t>
  </si>
  <si>
    <t>1 jika ada kejadian pada bulan tersebut</t>
  </si>
  <si>
    <t>Bank Indonesia, historical sovereign ratings</t>
  </si>
  <si>
    <t>Cakupan S&amp;P, Fitch dan Moody's, foreign-currency long-term sovereign rating. Kejadian dicatat di rating_events. Outlook Positive ke Stable dihitung deterioration; Negative ke Stable dihitung improvement. Reset outlook saat upgrade grade tidak dihitung sebagai kejadian outlook terpisah.</t>
  </si>
  <si>
    <t>Penurunan grade rating sovereign LTFC</t>
  </si>
  <si>
    <t>Cakupan S&amp;P, Fitch dan Moody's, foreign-currency long-term sovereign rating. Kejadian dicatat di rating_events. Outlook Positive ke Stable dihitung deterioration; Negative ke Stable dihitung improvement. Reset outlook saat upgrade grade tidak dihitung sebagai kejadian outlook terpisah. Tidak ada downgrade grade dalam sampel; kolom selalu 0 dan tidak bisa mengidentifikasi koefisien downgrade sendiri.</t>
  </si>
  <si>
    <t>Perbaikan outlook tanpa perubahan grade</t>
  </si>
  <si>
    <t>Penurunan outlook tanpa perubahan grade</t>
  </si>
  <si>
    <t>Penanda periode instrumen BI 7-day reverse repo rate</t>
  </si>
  <si>
    <t>0 sampai Juli 2016; 1 sejak Agustus 2016</t>
  </si>
  <si>
    <t>BIS policy-rate metadata</t>
  </si>
  <si>
    <t>Penanda perubahan definisi suku bunga, bukan ukuran shock kebijakan.</t>
  </si>
  <si>
    <t>Penanda instrumen SRBI sudah diterbitkan</t>
  </si>
  <si>
    <t>0 sampai Agustus 2023; 1 sejak September 2023</t>
  </si>
  <si>
    <t>Bank Indonesia</t>
  </si>
  <si>
    <t>https://www.bi.go.id/id/iru/economic-market-data/default.aspx</t>
  </si>
  <si>
    <t>Implementasi SRBI dimulai 15 September 2023. Penanda tersedia untuk pemeriksaan perubahan cakupan flows.</t>
  </si>
  <si>
    <t>Kelengkapan lima variabel inti</t>
  </si>
  <si>
    <t>1 jika usdidr, trade balance, flows, cadangan valas dan DXY semuanya tersedia</t>
  </si>
  <si>
    <t>database_monthly</t>
  </si>
  <si>
    <t>September 2026 = 0 karena data ekspor/impor sumber BPS belum tersedia; tidak diisi estimasi atau nol.</t>
  </si>
  <si>
    <t>Sampel awal yang lengkap sejak Januari 2014</t>
  </si>
  <si>
    <t>1 jika year&gt;=2014 dan core_complete=1</t>
  </si>
  <si>
    <t>2014-01 to 2026-08</t>
  </si>
  <si>
    <t>Periode 2013 dipertahankan untuk lag dan pembandingan sampel. Pilihan periode optimal belum diestimasi.</t>
  </si>
  <si>
    <t>database_vintage</t>
  </si>
  <si>
    <t>Tanggal informasi dan perlakuan revisi</t>
  </si>
  <si>
    <t>date</t>
  </si>
  <si>
    <t>Snapshot sumber yang tersedia saat akses</t>
  </si>
  <si>
    <t>All sources</t>
  </si>
  <si>
    <t>Sources listed above</t>
  </si>
  <si>
    <t>As of 2026-10-30</t>
  </si>
  <si>
    <t>Data merupakan latest available vintage, bukan arsip vintage real-time. Untuk backtest, gunakan keterlambatan rilis dan perlakuan revisi yang tepat. Oktober 2026 dikeluarkan karena belum merupakan bulan penuh dan file pasar berhenti 21 Oktober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</si>
</sst>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yyyy\-mm\-dd"/>
  </numFmts>
  <fonts count="3">
    <font>
      <sz val="11"/>
      <name val="Carlito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6"/>
  <sheetViews>
    <sheetView tabSelected="1" workbookViewId="0">
      <pane ySplit="1" topLeftCell="A3" activePane="bottomLeft" state="frozen"/>
      <selection pane="bottomLeft"/>
    </sheetView>
  </sheetViews>
  <sheetFormatPr defaultRowHeight="13.5"/>
  <cols>
    <col min="1" max="2" width="8" customWidth="1"/>
    <col min="3" max="3" width="9" customWidth="1"/>
    <col min="4" max="4" width="12" customWidth="1"/>
    <col min="5" max="6" width="23" customWidth="1"/>
    <col min="7" max="7" width="25" customWidth="1"/>
    <col min="8" max="8" width="12" customWidth="1"/>
    <col min="9" max="9" width="17" customWidth="1"/>
    <col min="10" max="10" width="12" customWidth="1"/>
    <col min="11" max="11" width="17" customWidth="1"/>
    <col min="12" max="13" width="18" customWidth="1"/>
    <col min="14" max="14" width="17" customWidth="1"/>
    <col min="15" max="15" width="20" customWidth="1"/>
    <col min="16" max="16" width="14" customWidth="1"/>
    <col min="17" max="17" width="16" customWidth="1"/>
    <col min="18" max="18" width="15" customWidth="1"/>
    <col min="19" max="19" width="16" customWidth="1"/>
    <col min="20" max="21" width="21" customWidth="1"/>
    <col min="22" max="22" width="20" customWidth="1"/>
    <col min="23" max="23" width="17" customWidth="1"/>
    <col min="24" max="24" width="21" customWidth="1"/>
    <col min="25" max="25" width="19" customWidth="1"/>
  </cols>
  <sheetData>
    <row r="1" spans="1:25" ht="1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18" customHeight="1">
      <c r="A2" s="3">
        <v>2013</v>
      </c>
      <c r="B2" s="3">
        <v>1</v>
      </c>
      <c r="C2" s="3">
        <f t="shared" ref="C2:C33" si="0">12*(A2-1960)+B2-1</f>
        <v>636</v>
      </c>
      <c r="D2" s="4">
        <v>9740</v>
      </c>
      <c r="E2" s="5">
        <f t="shared" ref="E2:E33" si="1">IF(COUNT(T2:U2)=2,T2-U2,"")</f>
        <v>-7.4499999999998678E-2</v>
      </c>
      <c r="F2" s="5">
        <f>IF(COUNT(flow_components!C2:E2)=3,SUM(flow_components!C2:E2),"")</f>
        <v>7.665552301</v>
      </c>
      <c r="G2" s="5">
        <v>101.18941</v>
      </c>
      <c r="H2" s="5">
        <v>79.206999999999994</v>
      </c>
      <c r="I2" s="5">
        <v>1.9849000000000001</v>
      </c>
      <c r="J2" s="5">
        <v>14.28</v>
      </c>
      <c r="K2" s="5">
        <v>5.75</v>
      </c>
      <c r="L2" s="5">
        <v>0</v>
      </c>
      <c r="M2" s="5">
        <v>0.25</v>
      </c>
      <c r="N2" s="5">
        <f t="shared" ref="N2:N33" si="2">(L2+M2)/2</f>
        <v>0.125</v>
      </c>
      <c r="O2" s="5">
        <f t="shared" ref="O2:O33" si="3">K2-N2</f>
        <v>5.625</v>
      </c>
      <c r="P2" s="3">
        <f>IF(COUNTIFS(rating_events!$B$2:$B$13,C2,rating_events!$D$2:$D$13,"rating_upgrade")&gt;0,1,0)</f>
        <v>0</v>
      </c>
      <c r="Q2" s="3">
        <f>IF(COUNTIFS(rating_events!$B$2:$B$13,C2,rating_events!$D$2:$D$13,"rating_downgrade")&gt;0,1,0)</f>
        <v>0</v>
      </c>
      <c r="R2" s="3">
        <f>IF(COUNTIFS(rating_events!$B$2:$B$13,C2,rating_events!$D$2:$D$13,"outlook_improvement")&gt;0,1,0)</f>
        <v>0</v>
      </c>
      <c r="S2" s="3">
        <f>IF(COUNTIFS(rating_events!$B$2:$B$13,C2,rating_events!$D$2:$D$13,"outlook_deterioration")&gt;0,1,0)</f>
        <v>0</v>
      </c>
      <c r="T2" s="5">
        <v>15.375500000000001</v>
      </c>
      <c r="U2" s="5">
        <v>15.45</v>
      </c>
      <c r="V2" s="3">
        <v>0</v>
      </c>
      <c r="W2" s="3">
        <v>0</v>
      </c>
      <c r="X2" s="3">
        <f t="shared" ref="X2:X33" si="4">IF(AND(A2&gt;=2014,Y2=1),1,0)</f>
        <v>0</v>
      </c>
      <c r="Y2" s="3">
        <f t="shared" ref="Y2:Y33" si="5">IF(COUNT(D2:H2)=5,1,0)</f>
        <v>1</v>
      </c>
    </row>
    <row r="3" spans="1:25" ht="18" customHeight="1">
      <c r="A3" s="3">
        <v>2013</v>
      </c>
      <c r="B3" s="3">
        <v>2</v>
      </c>
      <c r="C3" s="3">
        <f t="shared" si="0"/>
        <v>637</v>
      </c>
      <c r="D3" s="4">
        <v>9664</v>
      </c>
      <c r="E3" s="5">
        <f t="shared" si="1"/>
        <v>-0.29739999999999966</v>
      </c>
      <c r="F3" s="5">
        <f>IF(COUNT(flow_components!C3:E3)=3,SUM(flow_components!C3:E3),"")</f>
        <v>18.402592231</v>
      </c>
      <c r="G3" s="5">
        <v>97.824119999999994</v>
      </c>
      <c r="H3" s="5">
        <v>81.948999999999998</v>
      </c>
      <c r="I3" s="5">
        <v>1.8755999999999999</v>
      </c>
      <c r="J3" s="5">
        <v>15.51</v>
      </c>
      <c r="K3" s="5">
        <v>5.75</v>
      </c>
      <c r="L3" s="5">
        <v>0</v>
      </c>
      <c r="M3" s="5">
        <v>0.25</v>
      </c>
      <c r="N3" s="5">
        <f t="shared" si="2"/>
        <v>0.125</v>
      </c>
      <c r="O3" s="5">
        <f t="shared" si="3"/>
        <v>5.625</v>
      </c>
      <c r="P3" s="3">
        <f>IF(COUNTIFS(rating_events!$B$2:$B$13,C3,rating_events!$D$2:$D$13,"rating_upgrade")&gt;0,1,0)</f>
        <v>0</v>
      </c>
      <c r="Q3" s="3">
        <f>IF(COUNTIFS(rating_events!$B$2:$B$13,C3,rating_events!$D$2:$D$13,"rating_downgrade")&gt;0,1,0)</f>
        <v>0</v>
      </c>
      <c r="R3" s="3">
        <f>IF(COUNTIFS(rating_events!$B$2:$B$13,C3,rating_events!$D$2:$D$13,"outlook_improvement")&gt;0,1,0)</f>
        <v>0</v>
      </c>
      <c r="S3" s="3">
        <f>IF(COUNTIFS(rating_events!$B$2:$B$13,C3,rating_events!$D$2:$D$13,"outlook_deterioration")&gt;0,1,0)</f>
        <v>0</v>
      </c>
      <c r="T3" s="5">
        <v>15.015600000000001</v>
      </c>
      <c r="U3" s="5">
        <v>15.313000000000001</v>
      </c>
      <c r="V3" s="3">
        <v>0</v>
      </c>
      <c r="W3" s="3">
        <v>0</v>
      </c>
      <c r="X3" s="3">
        <f t="shared" si="4"/>
        <v>0</v>
      </c>
      <c r="Y3" s="3">
        <f t="shared" si="5"/>
        <v>1</v>
      </c>
    </row>
    <row r="4" spans="1:25" ht="18" customHeight="1">
      <c r="A4" s="3">
        <v>2013</v>
      </c>
      <c r="B4" s="3">
        <v>3</v>
      </c>
      <c r="C4" s="3">
        <f t="shared" si="0"/>
        <v>638</v>
      </c>
      <c r="D4" s="4">
        <v>9715</v>
      </c>
      <c r="E4" s="5">
        <f t="shared" si="1"/>
        <v>0.13759999999999906</v>
      </c>
      <c r="F4" s="5">
        <f>IF(COUNT(flow_components!C4:E4)=3,SUM(flow_components!C4:E4),"")</f>
        <v>0.53803900499999924</v>
      </c>
      <c r="G4" s="5">
        <v>97.474810000000005</v>
      </c>
      <c r="H4" s="5">
        <v>82.975999999999999</v>
      </c>
      <c r="I4" s="5">
        <v>1.8486</v>
      </c>
      <c r="J4" s="5">
        <v>12.7</v>
      </c>
      <c r="K4" s="5">
        <v>5.75</v>
      </c>
      <c r="L4" s="5">
        <v>0</v>
      </c>
      <c r="M4" s="5">
        <v>0.25</v>
      </c>
      <c r="N4" s="5">
        <f t="shared" si="2"/>
        <v>0.125</v>
      </c>
      <c r="O4" s="5">
        <f t="shared" si="3"/>
        <v>5.625</v>
      </c>
      <c r="P4" s="3">
        <f>IF(COUNTIFS(rating_events!$B$2:$B$13,C4,rating_events!$D$2:$D$13,"rating_upgrade")&gt;0,1,0)</f>
        <v>0</v>
      </c>
      <c r="Q4" s="3">
        <f>IF(COUNTIFS(rating_events!$B$2:$B$13,C4,rating_events!$D$2:$D$13,"rating_downgrade")&gt;0,1,0)</f>
        <v>0</v>
      </c>
      <c r="R4" s="3">
        <f>IF(COUNTIFS(rating_events!$B$2:$B$13,C4,rating_events!$D$2:$D$13,"outlook_improvement")&gt;0,1,0)</f>
        <v>0</v>
      </c>
      <c r="S4" s="3">
        <f>IF(COUNTIFS(rating_events!$B$2:$B$13,C4,rating_events!$D$2:$D$13,"outlook_deterioration")&gt;0,1,0)</f>
        <v>0</v>
      </c>
      <c r="T4" s="5">
        <v>15.0246</v>
      </c>
      <c r="U4" s="5">
        <v>14.887</v>
      </c>
      <c r="V4" s="3">
        <v>0</v>
      </c>
      <c r="W4" s="3">
        <v>0</v>
      </c>
      <c r="X4" s="3">
        <f t="shared" si="4"/>
        <v>0</v>
      </c>
      <c r="Y4" s="3">
        <f t="shared" si="5"/>
        <v>1</v>
      </c>
    </row>
    <row r="5" spans="1:25" ht="18" customHeight="1">
      <c r="A5" s="3">
        <v>2013</v>
      </c>
      <c r="B5" s="3">
        <v>4</v>
      </c>
      <c r="C5" s="3">
        <f t="shared" si="0"/>
        <v>639</v>
      </c>
      <c r="D5" s="4">
        <v>9723</v>
      </c>
      <c r="E5" s="5">
        <f t="shared" si="1"/>
        <v>-1.7021000000000015</v>
      </c>
      <c r="F5" s="5">
        <f>IF(COUNT(flow_components!C5:E5)=3,SUM(flow_components!C5:E5),"")</f>
        <v>16.462113245999998</v>
      </c>
      <c r="G5" s="5">
        <v>100.19661000000001</v>
      </c>
      <c r="H5" s="5">
        <v>81.745999999999995</v>
      </c>
      <c r="I5" s="5">
        <v>1.6717</v>
      </c>
      <c r="J5" s="5">
        <v>13.52</v>
      </c>
      <c r="K5" s="5">
        <v>5.75</v>
      </c>
      <c r="L5" s="5">
        <v>0</v>
      </c>
      <c r="M5" s="5">
        <v>0.25</v>
      </c>
      <c r="N5" s="5">
        <f t="shared" si="2"/>
        <v>0.125</v>
      </c>
      <c r="O5" s="5">
        <f t="shared" si="3"/>
        <v>5.625</v>
      </c>
      <c r="P5" s="3">
        <f>IF(COUNTIFS(rating_events!$B$2:$B$13,C5,rating_events!$D$2:$D$13,"rating_upgrade")&gt;0,1,0)</f>
        <v>0</v>
      </c>
      <c r="Q5" s="3">
        <f>IF(COUNTIFS(rating_events!$B$2:$B$13,C5,rating_events!$D$2:$D$13,"rating_downgrade")&gt;0,1,0)</f>
        <v>0</v>
      </c>
      <c r="R5" s="3">
        <f>IF(COUNTIFS(rating_events!$B$2:$B$13,C5,rating_events!$D$2:$D$13,"outlook_improvement")&gt;0,1,0)</f>
        <v>0</v>
      </c>
      <c r="S5" s="3">
        <f>IF(COUNTIFS(rating_events!$B$2:$B$13,C5,rating_events!$D$2:$D$13,"outlook_deterioration")&gt;0,1,0)</f>
        <v>0</v>
      </c>
      <c r="T5" s="5">
        <v>14.760899999999999</v>
      </c>
      <c r="U5" s="5">
        <v>16.463000000000001</v>
      </c>
      <c r="V5" s="3">
        <v>0</v>
      </c>
      <c r="W5" s="3">
        <v>0</v>
      </c>
      <c r="X5" s="3">
        <f t="shared" si="4"/>
        <v>0</v>
      </c>
      <c r="Y5" s="3">
        <f t="shared" si="5"/>
        <v>1</v>
      </c>
    </row>
    <row r="6" spans="1:25" ht="18" customHeight="1">
      <c r="A6" s="3">
        <v>2013</v>
      </c>
      <c r="B6" s="3">
        <v>5</v>
      </c>
      <c r="C6" s="3">
        <f t="shared" si="0"/>
        <v>640</v>
      </c>
      <c r="D6" s="4">
        <v>9795</v>
      </c>
      <c r="E6" s="5">
        <f t="shared" si="1"/>
        <v>-0.52760000000000318</v>
      </c>
      <c r="F6" s="5">
        <f>IF(COUNT(flow_components!C6:E6)=3,SUM(flow_components!C6:E6),"")</f>
        <v>3.5941488239999999</v>
      </c>
      <c r="G6" s="5">
        <v>98.200800000000001</v>
      </c>
      <c r="H6" s="5">
        <v>83.375</v>
      </c>
      <c r="I6" s="5">
        <v>2.1282000000000001</v>
      </c>
      <c r="J6" s="5">
        <v>16.3</v>
      </c>
      <c r="K6" s="5">
        <v>5.75</v>
      </c>
      <c r="L6" s="5">
        <v>0</v>
      </c>
      <c r="M6" s="5">
        <v>0.25</v>
      </c>
      <c r="N6" s="5">
        <f t="shared" si="2"/>
        <v>0.125</v>
      </c>
      <c r="O6" s="5">
        <f t="shared" si="3"/>
        <v>5.625</v>
      </c>
      <c r="P6" s="3">
        <f>IF(COUNTIFS(rating_events!$B$2:$B$13,C6,rating_events!$D$2:$D$13,"rating_upgrade")&gt;0,1,0)</f>
        <v>0</v>
      </c>
      <c r="Q6" s="3">
        <f>IF(COUNTIFS(rating_events!$B$2:$B$13,C6,rating_events!$D$2:$D$13,"rating_downgrade")&gt;0,1,0)</f>
        <v>0</v>
      </c>
      <c r="R6" s="3">
        <f>IF(COUNTIFS(rating_events!$B$2:$B$13,C6,rating_events!$D$2:$D$13,"outlook_improvement")&gt;0,1,0)</f>
        <v>0</v>
      </c>
      <c r="S6" s="3">
        <f>IF(COUNTIFS(rating_events!$B$2:$B$13,C6,rating_events!$D$2:$D$13,"outlook_deterioration")&gt;0,1,0)</f>
        <v>1</v>
      </c>
      <c r="T6" s="5">
        <v>16.133399999999998</v>
      </c>
      <c r="U6" s="5">
        <v>16.661000000000001</v>
      </c>
      <c r="V6" s="3">
        <v>0</v>
      </c>
      <c r="W6" s="3">
        <v>0</v>
      </c>
      <c r="X6" s="3">
        <f t="shared" si="4"/>
        <v>0</v>
      </c>
      <c r="Y6" s="3">
        <f t="shared" si="5"/>
        <v>1</v>
      </c>
    </row>
    <row r="7" spans="1:25" ht="18" customHeight="1">
      <c r="A7" s="3">
        <v>2013</v>
      </c>
      <c r="B7" s="3">
        <v>6</v>
      </c>
      <c r="C7" s="3">
        <f t="shared" si="0"/>
        <v>641</v>
      </c>
      <c r="D7" s="4">
        <v>9925</v>
      </c>
      <c r="E7" s="5">
        <f t="shared" si="1"/>
        <v>-0.8772000000000002</v>
      </c>
      <c r="F7" s="5">
        <f>IF(COUNT(flow_components!C7:E7)=3,SUM(flow_components!C7:E7),"")</f>
        <v>-39.392305469999997</v>
      </c>
      <c r="G7" s="5">
        <v>91.572550000000007</v>
      </c>
      <c r="H7" s="5">
        <v>83.135999999999996</v>
      </c>
      <c r="I7" s="5">
        <v>2.4857</v>
      </c>
      <c r="J7" s="5">
        <v>16.86</v>
      </c>
      <c r="K7" s="5">
        <v>6</v>
      </c>
      <c r="L7" s="5">
        <v>0</v>
      </c>
      <c r="M7" s="5">
        <v>0.25</v>
      </c>
      <c r="N7" s="5">
        <f t="shared" si="2"/>
        <v>0.125</v>
      </c>
      <c r="O7" s="5">
        <f t="shared" si="3"/>
        <v>5.875</v>
      </c>
      <c r="P7" s="3">
        <f>IF(COUNTIFS(rating_events!$B$2:$B$13,C7,rating_events!$D$2:$D$13,"rating_upgrade")&gt;0,1,0)</f>
        <v>0</v>
      </c>
      <c r="Q7" s="3">
        <f>IF(COUNTIFS(rating_events!$B$2:$B$13,C7,rating_events!$D$2:$D$13,"rating_downgrade")&gt;0,1,0)</f>
        <v>0</v>
      </c>
      <c r="R7" s="3">
        <f>IF(COUNTIFS(rating_events!$B$2:$B$13,C7,rating_events!$D$2:$D$13,"outlook_improvement")&gt;0,1,0)</f>
        <v>0</v>
      </c>
      <c r="S7" s="3">
        <f>IF(COUNTIFS(rating_events!$B$2:$B$13,C7,rating_events!$D$2:$D$13,"outlook_deterioration")&gt;0,1,0)</f>
        <v>0</v>
      </c>
      <c r="T7" s="5">
        <v>14.758799999999999</v>
      </c>
      <c r="U7" s="5">
        <v>15.635999999999999</v>
      </c>
      <c r="V7" s="3">
        <v>0</v>
      </c>
      <c r="W7" s="3">
        <v>0</v>
      </c>
      <c r="X7" s="3">
        <f t="shared" si="4"/>
        <v>0</v>
      </c>
      <c r="Y7" s="3">
        <f t="shared" si="5"/>
        <v>1</v>
      </c>
    </row>
    <row r="8" spans="1:25" ht="18" customHeight="1">
      <c r="A8" s="3">
        <v>2013</v>
      </c>
      <c r="B8" s="3">
        <v>7</v>
      </c>
      <c r="C8" s="3">
        <f t="shared" si="0"/>
        <v>642</v>
      </c>
      <c r="D8" s="4">
        <v>10278</v>
      </c>
      <c r="E8" s="5">
        <f t="shared" si="1"/>
        <v>-2.3291000000000022</v>
      </c>
      <c r="F8" s="5">
        <f>IF(COUNT(flow_components!C8:E8)=3,SUM(flow_components!C8:E8),"")</f>
        <v>0.32980406800000139</v>
      </c>
      <c r="G8" s="5">
        <v>85.912980000000005</v>
      </c>
      <c r="H8" s="5">
        <v>81.451999999999998</v>
      </c>
      <c r="I8" s="5">
        <v>2.5762</v>
      </c>
      <c r="J8" s="5">
        <v>13.45</v>
      </c>
      <c r="K8" s="5">
        <v>6.5</v>
      </c>
      <c r="L8" s="5">
        <v>0</v>
      </c>
      <c r="M8" s="5">
        <v>0.25</v>
      </c>
      <c r="N8" s="5">
        <f t="shared" si="2"/>
        <v>0.125</v>
      </c>
      <c r="O8" s="5">
        <f t="shared" si="3"/>
        <v>6.375</v>
      </c>
      <c r="P8" s="3">
        <f>IF(COUNTIFS(rating_events!$B$2:$B$13,C8,rating_events!$D$2:$D$13,"rating_upgrade")&gt;0,1,0)</f>
        <v>0</v>
      </c>
      <c r="Q8" s="3">
        <f>IF(COUNTIFS(rating_events!$B$2:$B$13,C8,rating_events!$D$2:$D$13,"rating_downgrade")&gt;0,1,0)</f>
        <v>0</v>
      </c>
      <c r="R8" s="3">
        <f>IF(COUNTIFS(rating_events!$B$2:$B$13,C8,rating_events!$D$2:$D$13,"outlook_improvement")&gt;0,1,0)</f>
        <v>0</v>
      </c>
      <c r="S8" s="3">
        <f>IF(COUNTIFS(rating_events!$B$2:$B$13,C8,rating_events!$D$2:$D$13,"outlook_deterioration")&gt;0,1,0)</f>
        <v>0</v>
      </c>
      <c r="T8" s="5">
        <v>15.087899999999999</v>
      </c>
      <c r="U8" s="5">
        <v>17.417000000000002</v>
      </c>
      <c r="V8" s="3">
        <v>0</v>
      </c>
      <c r="W8" s="3">
        <v>0</v>
      </c>
      <c r="X8" s="3">
        <f t="shared" si="4"/>
        <v>0</v>
      </c>
      <c r="Y8" s="3">
        <f t="shared" si="5"/>
        <v>1</v>
      </c>
    </row>
    <row r="9" spans="1:25" ht="18" customHeight="1">
      <c r="A9" s="3">
        <v>2013</v>
      </c>
      <c r="B9" s="3">
        <v>8</v>
      </c>
      <c r="C9" s="3">
        <f t="shared" si="0"/>
        <v>643</v>
      </c>
      <c r="D9" s="4">
        <v>10920</v>
      </c>
      <c r="E9" s="5">
        <f t="shared" si="1"/>
        <v>7.1699999999999875E-2</v>
      </c>
      <c r="F9" s="5">
        <f>IF(COUNT(flow_components!C9:E9)=3,SUM(flow_components!C9:E9),"")</f>
        <v>-7.8353426800000001</v>
      </c>
      <c r="G9" s="5">
        <v>86.029470000000003</v>
      </c>
      <c r="H9" s="5">
        <v>82.087000000000003</v>
      </c>
      <c r="I9" s="5">
        <v>2.7839</v>
      </c>
      <c r="J9" s="5">
        <v>17.010000000000002</v>
      </c>
      <c r="K9" s="5">
        <v>7</v>
      </c>
      <c r="L9" s="5">
        <v>0</v>
      </c>
      <c r="M9" s="5">
        <v>0.25</v>
      </c>
      <c r="N9" s="5">
        <f t="shared" si="2"/>
        <v>0.125</v>
      </c>
      <c r="O9" s="5">
        <f t="shared" si="3"/>
        <v>6.875</v>
      </c>
      <c r="P9" s="3">
        <f>IF(COUNTIFS(rating_events!$B$2:$B$13,C9,rating_events!$D$2:$D$13,"rating_upgrade")&gt;0,1,0)</f>
        <v>0</v>
      </c>
      <c r="Q9" s="3">
        <f>IF(COUNTIFS(rating_events!$B$2:$B$13,C9,rating_events!$D$2:$D$13,"rating_downgrade")&gt;0,1,0)</f>
        <v>0</v>
      </c>
      <c r="R9" s="3">
        <f>IF(COUNTIFS(rating_events!$B$2:$B$13,C9,rating_events!$D$2:$D$13,"outlook_improvement")&gt;0,1,0)</f>
        <v>0</v>
      </c>
      <c r="S9" s="3">
        <f>IF(COUNTIFS(rating_events!$B$2:$B$13,C9,rating_events!$D$2:$D$13,"outlook_deterioration")&gt;0,1,0)</f>
        <v>0</v>
      </c>
      <c r="T9" s="5">
        <v>13.0837</v>
      </c>
      <c r="U9" s="5">
        <v>13.012</v>
      </c>
      <c r="V9" s="3">
        <v>0</v>
      </c>
      <c r="W9" s="3">
        <v>0</v>
      </c>
      <c r="X9" s="3">
        <f t="shared" si="4"/>
        <v>0</v>
      </c>
      <c r="Y9" s="3">
        <f t="shared" si="5"/>
        <v>1</v>
      </c>
    </row>
    <row r="10" spans="1:25" ht="18" customHeight="1">
      <c r="A10" s="3">
        <v>2013</v>
      </c>
      <c r="B10" s="3">
        <v>9</v>
      </c>
      <c r="C10" s="3">
        <f t="shared" si="0"/>
        <v>644</v>
      </c>
      <c r="D10" s="4">
        <v>11580</v>
      </c>
      <c r="E10" s="5">
        <f t="shared" si="1"/>
        <v>-0.80320000000000036</v>
      </c>
      <c r="F10" s="5">
        <f>IF(COUNT(flow_components!C10:E10)=3,SUM(flow_components!C10:E10),"")</f>
        <v>9.7647998860000005</v>
      </c>
      <c r="G10" s="5">
        <v>88.850790000000003</v>
      </c>
      <c r="H10" s="5">
        <v>80.221000000000004</v>
      </c>
      <c r="I10" s="5">
        <v>2.61</v>
      </c>
      <c r="J10" s="5">
        <v>16.600000000000001</v>
      </c>
      <c r="K10" s="5">
        <v>7.25</v>
      </c>
      <c r="L10" s="5">
        <v>0</v>
      </c>
      <c r="M10" s="5">
        <v>0.25</v>
      </c>
      <c r="N10" s="5">
        <f t="shared" si="2"/>
        <v>0.125</v>
      </c>
      <c r="O10" s="5">
        <f t="shared" si="3"/>
        <v>7.125</v>
      </c>
      <c r="P10" s="3">
        <f>IF(COUNTIFS(rating_events!$B$2:$B$13,C10,rating_events!$D$2:$D$13,"rating_upgrade")&gt;0,1,0)</f>
        <v>0</v>
      </c>
      <c r="Q10" s="3">
        <f>IF(COUNTIFS(rating_events!$B$2:$B$13,C10,rating_events!$D$2:$D$13,"rating_downgrade")&gt;0,1,0)</f>
        <v>0</v>
      </c>
      <c r="R10" s="3">
        <f>IF(COUNTIFS(rating_events!$B$2:$B$13,C10,rating_events!$D$2:$D$13,"outlook_improvement")&gt;0,1,0)</f>
        <v>0</v>
      </c>
      <c r="S10" s="3">
        <f>IF(COUNTIFS(rating_events!$B$2:$B$13,C10,rating_events!$D$2:$D$13,"outlook_deterioration")&gt;0,1,0)</f>
        <v>0</v>
      </c>
      <c r="T10" s="5">
        <v>14.706799999999999</v>
      </c>
      <c r="U10" s="5">
        <v>15.51</v>
      </c>
      <c r="V10" s="3">
        <v>0</v>
      </c>
      <c r="W10" s="3">
        <v>0</v>
      </c>
      <c r="X10" s="3">
        <f t="shared" si="4"/>
        <v>0</v>
      </c>
      <c r="Y10" s="3">
        <f t="shared" si="5"/>
        <v>1</v>
      </c>
    </row>
    <row r="11" spans="1:25" ht="18" customHeight="1">
      <c r="A11" s="3">
        <v>2013</v>
      </c>
      <c r="B11" s="3">
        <v>10</v>
      </c>
      <c r="C11" s="3">
        <f t="shared" si="0"/>
        <v>645</v>
      </c>
      <c r="D11" s="4">
        <v>11273</v>
      </c>
      <c r="E11" s="5">
        <f t="shared" si="1"/>
        <v>2.430000000000021E-2</v>
      </c>
      <c r="F11" s="5">
        <f>IF(COUNT(flow_components!C11:E11)=3,SUM(flow_components!C11:E11),"")</f>
        <v>21.169082382999999</v>
      </c>
      <c r="G11" s="5">
        <v>90.108423999999999</v>
      </c>
      <c r="H11" s="5">
        <v>80.194999999999993</v>
      </c>
      <c r="I11" s="5">
        <v>2.5541999999999998</v>
      </c>
      <c r="J11" s="5">
        <v>13.75</v>
      </c>
      <c r="K11" s="5">
        <v>7.25</v>
      </c>
      <c r="L11" s="5">
        <v>0</v>
      </c>
      <c r="M11" s="5">
        <v>0.25</v>
      </c>
      <c r="N11" s="5">
        <f t="shared" si="2"/>
        <v>0.125</v>
      </c>
      <c r="O11" s="5">
        <f t="shared" si="3"/>
        <v>7.125</v>
      </c>
      <c r="P11" s="3">
        <f>IF(COUNTIFS(rating_events!$B$2:$B$13,C11,rating_events!$D$2:$D$13,"rating_upgrade")&gt;0,1,0)</f>
        <v>0</v>
      </c>
      <c r="Q11" s="3">
        <f>IF(COUNTIFS(rating_events!$B$2:$B$13,C11,rating_events!$D$2:$D$13,"rating_downgrade")&gt;0,1,0)</f>
        <v>0</v>
      </c>
      <c r="R11" s="3">
        <f>IF(COUNTIFS(rating_events!$B$2:$B$13,C11,rating_events!$D$2:$D$13,"outlook_improvement")&gt;0,1,0)</f>
        <v>0</v>
      </c>
      <c r="S11" s="3">
        <f>IF(COUNTIFS(rating_events!$B$2:$B$13,C11,rating_events!$D$2:$D$13,"outlook_deterioration")&gt;0,1,0)</f>
        <v>0</v>
      </c>
      <c r="T11" s="5">
        <v>15.6983</v>
      </c>
      <c r="U11" s="5">
        <v>15.673999999999999</v>
      </c>
      <c r="V11" s="3">
        <v>0</v>
      </c>
      <c r="W11" s="3">
        <v>0</v>
      </c>
      <c r="X11" s="3">
        <f t="shared" si="4"/>
        <v>0</v>
      </c>
      <c r="Y11" s="3">
        <f t="shared" si="5"/>
        <v>1</v>
      </c>
    </row>
    <row r="12" spans="1:25" ht="18" customHeight="1">
      <c r="A12" s="3">
        <v>2013</v>
      </c>
      <c r="B12" s="3">
        <v>11</v>
      </c>
      <c r="C12" s="3">
        <f t="shared" si="0"/>
        <v>646</v>
      </c>
      <c r="D12" s="4">
        <v>11963</v>
      </c>
      <c r="E12" s="5">
        <f t="shared" si="1"/>
        <v>0.78960000000000186</v>
      </c>
      <c r="F12" s="5">
        <f>IF(COUNT(flow_components!C12:E12)=3,SUM(flow_components!C12:E12),"")</f>
        <v>2.5108391600000006</v>
      </c>
      <c r="G12" s="5">
        <v>90.351979999999998</v>
      </c>
      <c r="H12" s="5">
        <v>80.680000000000007</v>
      </c>
      <c r="I12" s="5">
        <v>2.7444999999999999</v>
      </c>
      <c r="J12" s="5">
        <v>13.7</v>
      </c>
      <c r="K12" s="5">
        <v>7.5</v>
      </c>
      <c r="L12" s="5">
        <v>0</v>
      </c>
      <c r="M12" s="5">
        <v>0.25</v>
      </c>
      <c r="N12" s="5">
        <f t="shared" si="2"/>
        <v>0.125</v>
      </c>
      <c r="O12" s="5">
        <f t="shared" si="3"/>
        <v>7.375</v>
      </c>
      <c r="P12" s="3">
        <f>IF(COUNTIFS(rating_events!$B$2:$B$13,C12,rating_events!$D$2:$D$13,"rating_upgrade")&gt;0,1,0)</f>
        <v>0</v>
      </c>
      <c r="Q12" s="3">
        <f>IF(COUNTIFS(rating_events!$B$2:$B$13,C12,rating_events!$D$2:$D$13,"rating_downgrade")&gt;0,1,0)</f>
        <v>0</v>
      </c>
      <c r="R12" s="3">
        <f>IF(COUNTIFS(rating_events!$B$2:$B$13,C12,rating_events!$D$2:$D$13,"outlook_improvement")&gt;0,1,0)</f>
        <v>0</v>
      </c>
      <c r="S12" s="3">
        <f>IF(COUNTIFS(rating_events!$B$2:$B$13,C12,rating_events!$D$2:$D$13,"outlook_deterioration")&gt;0,1,0)</f>
        <v>0</v>
      </c>
      <c r="T12" s="5">
        <v>15.938600000000001</v>
      </c>
      <c r="U12" s="5">
        <v>15.148999999999999</v>
      </c>
      <c r="V12" s="3">
        <v>0</v>
      </c>
      <c r="W12" s="3">
        <v>0</v>
      </c>
      <c r="X12" s="3">
        <f t="shared" si="4"/>
        <v>0</v>
      </c>
      <c r="Y12" s="3">
        <f t="shared" si="5"/>
        <v>1</v>
      </c>
    </row>
    <row r="13" spans="1:25" ht="18" customHeight="1">
      <c r="A13" s="3">
        <v>2013</v>
      </c>
      <c r="B13" s="3">
        <v>12</v>
      </c>
      <c r="C13" s="3">
        <f t="shared" si="0"/>
        <v>647</v>
      </c>
      <c r="D13" s="4">
        <v>12170</v>
      </c>
      <c r="E13" s="5">
        <f t="shared" si="1"/>
        <v>1.5118000000000009</v>
      </c>
      <c r="F13" s="5">
        <f>IF(COUNT(flow_components!C13:E13)=3,SUM(flow_components!C13:E13),"")</f>
        <v>-4.8763703509999994</v>
      </c>
      <c r="G13" s="5">
        <v>92.872318000000007</v>
      </c>
      <c r="H13" s="5">
        <v>80.034999999999997</v>
      </c>
      <c r="I13" s="5">
        <v>3.0282</v>
      </c>
      <c r="J13" s="5">
        <v>13.72</v>
      </c>
      <c r="K13" s="5">
        <v>7.5</v>
      </c>
      <c r="L13" s="5">
        <v>0</v>
      </c>
      <c r="M13" s="5">
        <v>0.25</v>
      </c>
      <c r="N13" s="5">
        <f t="shared" si="2"/>
        <v>0.125</v>
      </c>
      <c r="O13" s="5">
        <f t="shared" si="3"/>
        <v>7.375</v>
      </c>
      <c r="P13" s="3">
        <f>IF(COUNTIFS(rating_events!$B$2:$B$13,C13,rating_events!$D$2:$D$13,"rating_upgrade")&gt;0,1,0)</f>
        <v>0</v>
      </c>
      <c r="Q13" s="3">
        <f>IF(COUNTIFS(rating_events!$B$2:$B$13,C13,rating_events!$D$2:$D$13,"rating_downgrade")&gt;0,1,0)</f>
        <v>0</v>
      </c>
      <c r="R13" s="3">
        <f>IF(COUNTIFS(rating_events!$B$2:$B$13,C13,rating_events!$D$2:$D$13,"outlook_improvement")&gt;0,1,0)</f>
        <v>0</v>
      </c>
      <c r="S13" s="3">
        <f>IF(COUNTIFS(rating_events!$B$2:$B$13,C13,rating_events!$D$2:$D$13,"outlook_deterioration")&gt;0,1,0)</f>
        <v>0</v>
      </c>
      <c r="T13" s="5">
        <v>16.9678</v>
      </c>
      <c r="U13" s="5">
        <v>15.456</v>
      </c>
      <c r="V13" s="3">
        <v>0</v>
      </c>
      <c r="W13" s="3">
        <v>0</v>
      </c>
      <c r="X13" s="3">
        <f t="shared" si="4"/>
        <v>0</v>
      </c>
      <c r="Y13" s="3">
        <f t="shared" si="5"/>
        <v>1</v>
      </c>
    </row>
    <row r="14" spans="1:25" ht="18" customHeight="1">
      <c r="A14" s="3">
        <v>2014</v>
      </c>
      <c r="B14" s="3">
        <v>1</v>
      </c>
      <c r="C14" s="3">
        <f t="shared" si="0"/>
        <v>648</v>
      </c>
      <c r="D14" s="4">
        <v>12210</v>
      </c>
      <c r="E14" s="5">
        <f t="shared" si="1"/>
        <v>-0.44370000000000154</v>
      </c>
      <c r="F14" s="5">
        <f>IF(COUNT(flow_components!C14:E14)=3,SUM(flow_components!C14:E14),"")</f>
        <v>5.3595590389999987</v>
      </c>
      <c r="G14" s="5">
        <v>94.003417999999996</v>
      </c>
      <c r="H14" s="5">
        <v>81.311000000000007</v>
      </c>
      <c r="I14" s="5">
        <v>2.6440000000000001</v>
      </c>
      <c r="J14" s="5">
        <v>18.41</v>
      </c>
      <c r="K14" s="5">
        <v>7.5</v>
      </c>
      <c r="L14" s="5">
        <v>0</v>
      </c>
      <c r="M14" s="5">
        <v>0.25</v>
      </c>
      <c r="N14" s="5">
        <f t="shared" si="2"/>
        <v>0.125</v>
      </c>
      <c r="O14" s="5">
        <f t="shared" si="3"/>
        <v>7.375</v>
      </c>
      <c r="P14" s="3">
        <f>IF(COUNTIFS(rating_events!$B$2:$B$13,C14,rating_events!$D$2:$D$13,"rating_upgrade")&gt;0,1,0)</f>
        <v>0</v>
      </c>
      <c r="Q14" s="3">
        <f>IF(COUNTIFS(rating_events!$B$2:$B$13,C14,rating_events!$D$2:$D$13,"rating_downgrade")&gt;0,1,0)</f>
        <v>0</v>
      </c>
      <c r="R14" s="3">
        <f>IF(COUNTIFS(rating_events!$B$2:$B$13,C14,rating_events!$D$2:$D$13,"outlook_improvement")&gt;0,1,0)</f>
        <v>0</v>
      </c>
      <c r="S14" s="3">
        <f>IF(COUNTIFS(rating_events!$B$2:$B$13,C14,rating_events!$D$2:$D$13,"outlook_deterioration")&gt;0,1,0)</f>
        <v>0</v>
      </c>
      <c r="T14" s="5">
        <v>14.472299999999999</v>
      </c>
      <c r="U14" s="5">
        <v>14.916</v>
      </c>
      <c r="V14" s="3">
        <v>0</v>
      </c>
      <c r="W14" s="3">
        <v>0</v>
      </c>
      <c r="X14" s="3">
        <f t="shared" si="4"/>
        <v>1</v>
      </c>
      <c r="Y14" s="3">
        <f t="shared" si="5"/>
        <v>1</v>
      </c>
    </row>
    <row r="15" spans="1:25" ht="18" customHeight="1">
      <c r="A15" s="3">
        <v>2014</v>
      </c>
      <c r="B15" s="3">
        <v>2</v>
      </c>
      <c r="C15" s="3">
        <f t="shared" si="0"/>
        <v>649</v>
      </c>
      <c r="D15" s="4">
        <v>11609</v>
      </c>
      <c r="E15" s="5">
        <f t="shared" si="1"/>
        <v>0.84309999999999974</v>
      </c>
      <c r="F15" s="5">
        <f>IF(COUNT(flow_components!C15:E15)=3,SUM(flow_components!C15:E15),"")</f>
        <v>24.096981037000003</v>
      </c>
      <c r="G15" s="5">
        <v>95.918085000000005</v>
      </c>
      <c r="H15" s="5">
        <v>79.691000000000003</v>
      </c>
      <c r="I15" s="5">
        <v>2.6476000000000002</v>
      </c>
      <c r="J15" s="5">
        <v>14</v>
      </c>
      <c r="K15" s="5">
        <v>7.5</v>
      </c>
      <c r="L15" s="5">
        <v>0</v>
      </c>
      <c r="M15" s="5">
        <v>0.25</v>
      </c>
      <c r="N15" s="5">
        <f t="shared" si="2"/>
        <v>0.125</v>
      </c>
      <c r="O15" s="5">
        <f t="shared" si="3"/>
        <v>7.375</v>
      </c>
      <c r="P15" s="3">
        <f>IF(COUNTIFS(rating_events!$B$2:$B$13,C15,rating_events!$D$2:$D$13,"rating_upgrade")&gt;0,1,0)</f>
        <v>0</v>
      </c>
      <c r="Q15" s="3">
        <f>IF(COUNTIFS(rating_events!$B$2:$B$13,C15,rating_events!$D$2:$D$13,"rating_downgrade")&gt;0,1,0)</f>
        <v>0</v>
      </c>
      <c r="R15" s="3">
        <f>IF(COUNTIFS(rating_events!$B$2:$B$13,C15,rating_events!$D$2:$D$13,"outlook_improvement")&gt;0,1,0)</f>
        <v>0</v>
      </c>
      <c r="S15" s="3">
        <f>IF(COUNTIFS(rating_events!$B$2:$B$13,C15,rating_events!$D$2:$D$13,"outlook_deterioration")&gt;0,1,0)</f>
        <v>0</v>
      </c>
      <c r="T15" s="5">
        <v>14.6341</v>
      </c>
      <c r="U15" s="5">
        <v>13.791</v>
      </c>
      <c r="V15" s="3">
        <v>0</v>
      </c>
      <c r="W15" s="3">
        <v>0</v>
      </c>
      <c r="X15" s="3">
        <f t="shared" si="4"/>
        <v>1</v>
      </c>
      <c r="Y15" s="3">
        <f t="shared" si="5"/>
        <v>1</v>
      </c>
    </row>
    <row r="16" spans="1:25" ht="18" customHeight="1">
      <c r="A16" s="3">
        <v>2014</v>
      </c>
      <c r="B16" s="3">
        <v>3</v>
      </c>
      <c r="C16" s="3">
        <f t="shared" si="0"/>
        <v>650</v>
      </c>
      <c r="D16" s="4">
        <v>11360</v>
      </c>
      <c r="E16" s="5">
        <f t="shared" si="1"/>
        <v>0.66860000000000142</v>
      </c>
      <c r="F16" s="5">
        <f>IF(COUNT(flow_components!C16:E16)=3,SUM(flow_components!C16:E16),"")</f>
        <v>30.056256800000003</v>
      </c>
      <c r="G16" s="5">
        <v>95.847198000000006</v>
      </c>
      <c r="H16" s="5">
        <v>80.099999999999994</v>
      </c>
      <c r="I16" s="5">
        <v>2.718</v>
      </c>
      <c r="J16" s="5">
        <v>13.88</v>
      </c>
      <c r="K16" s="5">
        <v>7.5</v>
      </c>
      <c r="L16" s="5">
        <v>0</v>
      </c>
      <c r="M16" s="5">
        <v>0.25</v>
      </c>
      <c r="N16" s="5">
        <f t="shared" si="2"/>
        <v>0.125</v>
      </c>
      <c r="O16" s="5">
        <f t="shared" si="3"/>
        <v>7.375</v>
      </c>
      <c r="P16" s="3">
        <f>IF(COUNTIFS(rating_events!$B$2:$B$13,C16,rating_events!$D$2:$D$13,"rating_upgrade")&gt;0,1,0)</f>
        <v>0</v>
      </c>
      <c r="Q16" s="3">
        <f>IF(COUNTIFS(rating_events!$B$2:$B$13,C16,rating_events!$D$2:$D$13,"rating_downgrade")&gt;0,1,0)</f>
        <v>0</v>
      </c>
      <c r="R16" s="3">
        <f>IF(COUNTIFS(rating_events!$B$2:$B$13,C16,rating_events!$D$2:$D$13,"outlook_improvement")&gt;0,1,0)</f>
        <v>0</v>
      </c>
      <c r="S16" s="3">
        <f>IF(COUNTIFS(rating_events!$B$2:$B$13,C16,rating_events!$D$2:$D$13,"outlook_deterioration")&gt;0,1,0)</f>
        <v>0</v>
      </c>
      <c r="T16" s="5">
        <v>15.192600000000001</v>
      </c>
      <c r="U16" s="5">
        <v>14.523999999999999</v>
      </c>
      <c r="V16" s="3">
        <v>0</v>
      </c>
      <c r="W16" s="3">
        <v>0</v>
      </c>
      <c r="X16" s="3">
        <f t="shared" si="4"/>
        <v>1</v>
      </c>
      <c r="Y16" s="3">
        <f t="shared" si="5"/>
        <v>1</v>
      </c>
    </row>
    <row r="17" spans="1:25" ht="18" customHeight="1">
      <c r="A17" s="3">
        <v>2014</v>
      </c>
      <c r="B17" s="3">
        <v>4</v>
      </c>
      <c r="C17" s="3">
        <f t="shared" si="0"/>
        <v>651</v>
      </c>
      <c r="D17" s="4">
        <v>11562</v>
      </c>
      <c r="E17" s="5">
        <f t="shared" si="1"/>
        <v>-1.9624999999999986</v>
      </c>
      <c r="F17" s="5">
        <f>IF(COUNT(flow_components!C17:E17)=3,SUM(flow_components!C17:E17),"")</f>
        <v>24.282527225000003</v>
      </c>
      <c r="G17" s="5">
        <v>98.800843</v>
      </c>
      <c r="H17" s="5">
        <v>79.474000000000004</v>
      </c>
      <c r="I17" s="5">
        <v>2.6459000000000001</v>
      </c>
      <c r="J17" s="5">
        <v>13.41</v>
      </c>
      <c r="K17" s="5">
        <v>7.5</v>
      </c>
      <c r="L17" s="5">
        <v>0</v>
      </c>
      <c r="M17" s="5">
        <v>0.25</v>
      </c>
      <c r="N17" s="5">
        <f t="shared" si="2"/>
        <v>0.125</v>
      </c>
      <c r="O17" s="5">
        <f t="shared" si="3"/>
        <v>7.375</v>
      </c>
      <c r="P17" s="3">
        <f>IF(COUNTIFS(rating_events!$B$2:$B$13,C17,rating_events!$D$2:$D$13,"rating_upgrade")&gt;0,1,0)</f>
        <v>0</v>
      </c>
      <c r="Q17" s="3">
        <f>IF(COUNTIFS(rating_events!$B$2:$B$13,C17,rating_events!$D$2:$D$13,"rating_downgrade")&gt;0,1,0)</f>
        <v>0</v>
      </c>
      <c r="R17" s="3">
        <f>IF(COUNTIFS(rating_events!$B$2:$B$13,C17,rating_events!$D$2:$D$13,"outlook_improvement")&gt;0,1,0)</f>
        <v>0</v>
      </c>
      <c r="S17" s="3">
        <f>IF(COUNTIFS(rating_events!$B$2:$B$13,C17,rating_events!$D$2:$D$13,"outlook_deterioration")&gt;0,1,0)</f>
        <v>0</v>
      </c>
      <c r="T17" s="5">
        <v>14.2925</v>
      </c>
      <c r="U17" s="5">
        <v>16.254999999999999</v>
      </c>
      <c r="V17" s="3">
        <v>0</v>
      </c>
      <c r="W17" s="3">
        <v>0</v>
      </c>
      <c r="X17" s="3">
        <f t="shared" si="4"/>
        <v>1</v>
      </c>
      <c r="Y17" s="3">
        <f t="shared" si="5"/>
        <v>1</v>
      </c>
    </row>
    <row r="18" spans="1:25" ht="18" customHeight="1">
      <c r="A18" s="3">
        <v>2014</v>
      </c>
      <c r="B18" s="3">
        <v>5</v>
      </c>
      <c r="C18" s="3">
        <f t="shared" si="0"/>
        <v>652</v>
      </c>
      <c r="D18" s="4">
        <v>11675</v>
      </c>
      <c r="E18" s="5">
        <f t="shared" si="1"/>
        <v>5.3600000000001202E-2</v>
      </c>
      <c r="F18" s="5">
        <f>IF(COUNT(flow_components!C18:E18)=3,SUM(flow_components!C18:E18),"")</f>
        <v>23.129414342</v>
      </c>
      <c r="G18" s="5">
        <v>100.41180799999999</v>
      </c>
      <c r="H18" s="5">
        <v>80.369</v>
      </c>
      <c r="I18" s="5">
        <v>2.4759000000000002</v>
      </c>
      <c r="J18" s="5">
        <v>11.4</v>
      </c>
      <c r="K18" s="5">
        <v>7.5</v>
      </c>
      <c r="L18" s="5">
        <v>0</v>
      </c>
      <c r="M18" s="5">
        <v>0.25</v>
      </c>
      <c r="N18" s="5">
        <f t="shared" si="2"/>
        <v>0.125</v>
      </c>
      <c r="O18" s="5">
        <f t="shared" si="3"/>
        <v>7.375</v>
      </c>
      <c r="P18" s="3">
        <f>IF(COUNTIFS(rating_events!$B$2:$B$13,C18,rating_events!$D$2:$D$13,"rating_upgrade")&gt;0,1,0)</f>
        <v>0</v>
      </c>
      <c r="Q18" s="3">
        <f>IF(COUNTIFS(rating_events!$B$2:$B$13,C18,rating_events!$D$2:$D$13,"rating_downgrade")&gt;0,1,0)</f>
        <v>0</v>
      </c>
      <c r="R18" s="3">
        <f>IF(COUNTIFS(rating_events!$B$2:$B$13,C18,rating_events!$D$2:$D$13,"outlook_improvement")&gt;0,1,0)</f>
        <v>0</v>
      </c>
      <c r="S18" s="3">
        <f>IF(COUNTIFS(rating_events!$B$2:$B$13,C18,rating_events!$D$2:$D$13,"outlook_deterioration")&gt;0,1,0)</f>
        <v>0</v>
      </c>
      <c r="T18" s="5">
        <v>14.823600000000001</v>
      </c>
      <c r="U18" s="5">
        <v>14.77</v>
      </c>
      <c r="V18" s="3">
        <v>0</v>
      </c>
      <c r="W18" s="3">
        <v>0</v>
      </c>
      <c r="X18" s="3">
        <f t="shared" si="4"/>
        <v>1</v>
      </c>
      <c r="Y18" s="3">
        <f t="shared" si="5"/>
        <v>1</v>
      </c>
    </row>
    <row r="19" spans="1:25" ht="18" customHeight="1">
      <c r="A19" s="3">
        <v>2014</v>
      </c>
      <c r="B19" s="3">
        <v>6</v>
      </c>
      <c r="C19" s="3">
        <f t="shared" si="0"/>
        <v>653</v>
      </c>
      <c r="D19" s="4">
        <v>11855</v>
      </c>
      <c r="E19" s="5">
        <f t="shared" si="1"/>
        <v>-0.28850000000000087</v>
      </c>
      <c r="F19" s="5">
        <f>IF(COUNT(flow_components!C19:E19)=3,SUM(flow_components!C19:E19),"")</f>
        <v>9.1685081349999997</v>
      </c>
      <c r="G19" s="5">
        <v>100.8659</v>
      </c>
      <c r="H19" s="5">
        <v>79.775000000000006</v>
      </c>
      <c r="I19" s="5">
        <v>2.5304000000000002</v>
      </c>
      <c r="J19" s="5">
        <v>11.57</v>
      </c>
      <c r="K19" s="5">
        <v>7.5</v>
      </c>
      <c r="L19" s="5">
        <v>0</v>
      </c>
      <c r="M19" s="5">
        <v>0.25</v>
      </c>
      <c r="N19" s="5">
        <f t="shared" si="2"/>
        <v>0.125</v>
      </c>
      <c r="O19" s="5">
        <f t="shared" si="3"/>
        <v>7.375</v>
      </c>
      <c r="P19" s="3">
        <f>IF(COUNTIFS(rating_events!$B$2:$B$13,C19,rating_events!$D$2:$D$13,"rating_upgrade")&gt;0,1,0)</f>
        <v>0</v>
      </c>
      <c r="Q19" s="3">
        <f>IF(COUNTIFS(rating_events!$B$2:$B$13,C19,rating_events!$D$2:$D$13,"rating_downgrade")&gt;0,1,0)</f>
        <v>0</v>
      </c>
      <c r="R19" s="3">
        <f>IF(COUNTIFS(rating_events!$B$2:$B$13,C19,rating_events!$D$2:$D$13,"outlook_improvement")&gt;0,1,0)</f>
        <v>0</v>
      </c>
      <c r="S19" s="3">
        <f>IF(COUNTIFS(rating_events!$B$2:$B$13,C19,rating_events!$D$2:$D$13,"outlook_deterioration")&gt;0,1,0)</f>
        <v>0</v>
      </c>
      <c r="T19" s="5">
        <v>15.4095</v>
      </c>
      <c r="U19" s="5">
        <v>15.698</v>
      </c>
      <c r="V19" s="3">
        <v>0</v>
      </c>
      <c r="W19" s="3">
        <v>0</v>
      </c>
      <c r="X19" s="3">
        <f t="shared" si="4"/>
        <v>1</v>
      </c>
      <c r="Y19" s="3">
        <f t="shared" si="5"/>
        <v>1</v>
      </c>
    </row>
    <row r="20" spans="1:25" ht="18" customHeight="1">
      <c r="A20" s="3">
        <v>2014</v>
      </c>
      <c r="B20" s="3">
        <v>7</v>
      </c>
      <c r="C20" s="3">
        <f t="shared" si="0"/>
        <v>654</v>
      </c>
      <c r="D20" s="4">
        <v>11580</v>
      </c>
      <c r="E20" s="5">
        <f t="shared" si="1"/>
        <v>4.2099999999999582E-2</v>
      </c>
      <c r="F20" s="5">
        <f>IF(COUNT(flow_components!C20:E20)=3,SUM(flow_components!C20:E20),"")</f>
        <v>20.900071968000002</v>
      </c>
      <c r="G20" s="5">
        <v>103.80185</v>
      </c>
      <c r="H20" s="5">
        <v>81.456000000000003</v>
      </c>
      <c r="I20" s="5">
        <v>2.5577999999999999</v>
      </c>
      <c r="J20" s="5">
        <v>16.95</v>
      </c>
      <c r="K20" s="5">
        <v>7.5</v>
      </c>
      <c r="L20" s="5">
        <v>0</v>
      </c>
      <c r="M20" s="5">
        <v>0.25</v>
      </c>
      <c r="N20" s="5">
        <f t="shared" si="2"/>
        <v>0.125</v>
      </c>
      <c r="O20" s="5">
        <f t="shared" si="3"/>
        <v>7.375</v>
      </c>
      <c r="P20" s="3">
        <f>IF(COUNTIFS(rating_events!$B$2:$B$13,C20,rating_events!$D$2:$D$13,"rating_upgrade")&gt;0,1,0)</f>
        <v>0</v>
      </c>
      <c r="Q20" s="3">
        <f>IF(COUNTIFS(rating_events!$B$2:$B$13,C20,rating_events!$D$2:$D$13,"rating_downgrade")&gt;0,1,0)</f>
        <v>0</v>
      </c>
      <c r="R20" s="3">
        <f>IF(COUNTIFS(rating_events!$B$2:$B$13,C20,rating_events!$D$2:$D$13,"outlook_improvement")&gt;0,1,0)</f>
        <v>0</v>
      </c>
      <c r="S20" s="3">
        <f>IF(COUNTIFS(rating_events!$B$2:$B$13,C20,rating_events!$D$2:$D$13,"outlook_deterioration")&gt;0,1,0)</f>
        <v>0</v>
      </c>
      <c r="T20" s="5">
        <v>14.1241</v>
      </c>
      <c r="U20" s="5">
        <v>14.082000000000001</v>
      </c>
      <c r="V20" s="3">
        <v>0</v>
      </c>
      <c r="W20" s="3">
        <v>0</v>
      </c>
      <c r="X20" s="3">
        <f t="shared" si="4"/>
        <v>1</v>
      </c>
      <c r="Y20" s="3">
        <f t="shared" si="5"/>
        <v>1</v>
      </c>
    </row>
    <row r="21" spans="1:25" ht="18" customHeight="1">
      <c r="A21" s="3">
        <v>2014</v>
      </c>
      <c r="B21" s="3">
        <v>8</v>
      </c>
      <c r="C21" s="3">
        <f t="shared" si="0"/>
        <v>655</v>
      </c>
      <c r="D21" s="4">
        <v>11694</v>
      </c>
      <c r="E21" s="5">
        <f t="shared" si="1"/>
        <v>-0.31139999999999901</v>
      </c>
      <c r="F21" s="5">
        <f>IF(COUNT(flow_components!C21:E21)=3,SUM(flow_components!C21:E21),"")</f>
        <v>15.413548981999998</v>
      </c>
      <c r="G21" s="5">
        <v>104.56164</v>
      </c>
      <c r="H21" s="5">
        <v>82.748000000000005</v>
      </c>
      <c r="I21" s="5">
        <v>2.3431000000000002</v>
      </c>
      <c r="J21" s="5">
        <v>11.98</v>
      </c>
      <c r="K21" s="5">
        <v>7.5</v>
      </c>
      <c r="L21" s="5">
        <v>0</v>
      </c>
      <c r="M21" s="5">
        <v>0.25</v>
      </c>
      <c r="N21" s="5">
        <f t="shared" si="2"/>
        <v>0.125</v>
      </c>
      <c r="O21" s="5">
        <f t="shared" si="3"/>
        <v>7.375</v>
      </c>
      <c r="P21" s="3">
        <f>IF(COUNTIFS(rating_events!$B$2:$B$13,C21,rating_events!$D$2:$D$13,"rating_upgrade")&gt;0,1,0)</f>
        <v>0</v>
      </c>
      <c r="Q21" s="3">
        <f>IF(COUNTIFS(rating_events!$B$2:$B$13,C21,rating_events!$D$2:$D$13,"rating_downgrade")&gt;0,1,0)</f>
        <v>0</v>
      </c>
      <c r="R21" s="3">
        <f>IF(COUNTIFS(rating_events!$B$2:$B$13,C21,rating_events!$D$2:$D$13,"outlook_improvement")&gt;0,1,0)</f>
        <v>0</v>
      </c>
      <c r="S21" s="3">
        <f>IF(COUNTIFS(rating_events!$B$2:$B$13,C21,rating_events!$D$2:$D$13,"outlook_deterioration")&gt;0,1,0)</f>
        <v>0</v>
      </c>
      <c r="T21" s="5">
        <v>14.4816</v>
      </c>
      <c r="U21" s="5">
        <v>14.792999999999999</v>
      </c>
      <c r="V21" s="3">
        <v>0</v>
      </c>
      <c r="W21" s="3">
        <v>0</v>
      </c>
      <c r="X21" s="3">
        <f t="shared" si="4"/>
        <v>1</v>
      </c>
      <c r="Y21" s="3">
        <f t="shared" si="5"/>
        <v>1</v>
      </c>
    </row>
    <row r="22" spans="1:25" ht="18" customHeight="1">
      <c r="A22" s="3">
        <v>2014</v>
      </c>
      <c r="B22" s="3">
        <v>9</v>
      </c>
      <c r="C22" s="3">
        <f t="shared" si="0"/>
        <v>656</v>
      </c>
      <c r="D22" s="4">
        <v>12183</v>
      </c>
      <c r="E22" s="5">
        <f t="shared" si="1"/>
        <v>-0.27020000000000088</v>
      </c>
      <c r="F22" s="5">
        <f>IF(COUNT(flow_components!C22:E22)=3,SUM(flow_components!C22:E22),"")</f>
        <v>5.7685662860000022</v>
      </c>
      <c r="G22" s="5">
        <v>104.69638</v>
      </c>
      <c r="H22" s="5">
        <v>85.936000000000007</v>
      </c>
      <c r="I22" s="5">
        <v>2.4887999999999999</v>
      </c>
      <c r="J22" s="5">
        <v>16.309999999999999</v>
      </c>
      <c r="K22" s="5">
        <v>7.5</v>
      </c>
      <c r="L22" s="5">
        <v>0</v>
      </c>
      <c r="M22" s="5">
        <v>0.25</v>
      </c>
      <c r="N22" s="5">
        <f t="shared" si="2"/>
        <v>0.125</v>
      </c>
      <c r="O22" s="5">
        <f t="shared" si="3"/>
        <v>7.375</v>
      </c>
      <c r="P22" s="3">
        <f>IF(COUNTIFS(rating_events!$B$2:$B$13,C22,rating_events!$D$2:$D$13,"rating_upgrade")&gt;0,1,0)</f>
        <v>0</v>
      </c>
      <c r="Q22" s="3">
        <f>IF(COUNTIFS(rating_events!$B$2:$B$13,C22,rating_events!$D$2:$D$13,"rating_downgrade")&gt;0,1,0)</f>
        <v>0</v>
      </c>
      <c r="R22" s="3">
        <f>IF(COUNTIFS(rating_events!$B$2:$B$13,C22,rating_events!$D$2:$D$13,"outlook_improvement")&gt;0,1,0)</f>
        <v>0</v>
      </c>
      <c r="S22" s="3">
        <f>IF(COUNTIFS(rating_events!$B$2:$B$13,C22,rating_events!$D$2:$D$13,"outlook_deterioration")&gt;0,1,0)</f>
        <v>0</v>
      </c>
      <c r="T22" s="5">
        <v>15.275799999999998</v>
      </c>
      <c r="U22" s="5">
        <v>15.545999999999999</v>
      </c>
      <c r="V22" s="3">
        <v>0</v>
      </c>
      <c r="W22" s="3">
        <v>0</v>
      </c>
      <c r="X22" s="3">
        <f t="shared" si="4"/>
        <v>1</v>
      </c>
      <c r="Y22" s="3">
        <f t="shared" si="5"/>
        <v>1</v>
      </c>
    </row>
    <row r="23" spans="1:25" ht="18" customHeight="1">
      <c r="A23" s="3">
        <v>2014</v>
      </c>
      <c r="B23" s="3">
        <v>10</v>
      </c>
      <c r="C23" s="3">
        <f t="shared" si="0"/>
        <v>657</v>
      </c>
      <c r="D23" s="4">
        <v>12085</v>
      </c>
      <c r="E23" s="5">
        <f t="shared" si="1"/>
        <v>-3.5199999999999676E-2</v>
      </c>
      <c r="F23" s="5">
        <f>IF(COUNT(flow_components!C23:E23)=3,SUM(flow_components!C23:E23),"")</f>
        <v>9.2877942730000029</v>
      </c>
      <c r="G23" s="5">
        <v>105.56090399999999</v>
      </c>
      <c r="H23" s="5">
        <v>86.917000000000002</v>
      </c>
      <c r="I23" s="5">
        <v>2.3353000000000002</v>
      </c>
      <c r="J23" s="5">
        <v>14.03</v>
      </c>
      <c r="K23" s="5">
        <v>7.5</v>
      </c>
      <c r="L23" s="5">
        <v>0</v>
      </c>
      <c r="M23" s="5">
        <v>0.25</v>
      </c>
      <c r="N23" s="5">
        <f t="shared" si="2"/>
        <v>0.125</v>
      </c>
      <c r="O23" s="5">
        <f t="shared" si="3"/>
        <v>7.375</v>
      </c>
      <c r="P23" s="3">
        <f>IF(COUNTIFS(rating_events!$B$2:$B$13,C23,rating_events!$D$2:$D$13,"rating_upgrade")&gt;0,1,0)</f>
        <v>0</v>
      </c>
      <c r="Q23" s="3">
        <f>IF(COUNTIFS(rating_events!$B$2:$B$13,C23,rating_events!$D$2:$D$13,"rating_downgrade")&gt;0,1,0)</f>
        <v>0</v>
      </c>
      <c r="R23" s="3">
        <f>IF(COUNTIFS(rating_events!$B$2:$B$13,C23,rating_events!$D$2:$D$13,"outlook_improvement")&gt;0,1,0)</f>
        <v>0</v>
      </c>
      <c r="S23" s="3">
        <f>IF(COUNTIFS(rating_events!$B$2:$B$13,C23,rating_events!$D$2:$D$13,"outlook_deterioration")&gt;0,1,0)</f>
        <v>0</v>
      </c>
      <c r="T23" s="5">
        <v>15.2928</v>
      </c>
      <c r="U23" s="5">
        <v>15.327999999999999</v>
      </c>
      <c r="V23" s="3">
        <v>0</v>
      </c>
      <c r="W23" s="3">
        <v>0</v>
      </c>
      <c r="X23" s="3">
        <f t="shared" si="4"/>
        <v>1</v>
      </c>
      <c r="Y23" s="3">
        <f t="shared" si="5"/>
        <v>1</v>
      </c>
    </row>
    <row r="24" spans="1:25" ht="18" customHeight="1">
      <c r="A24" s="3">
        <v>2014</v>
      </c>
      <c r="B24" s="3">
        <v>11</v>
      </c>
      <c r="C24" s="3">
        <f t="shared" si="0"/>
        <v>658</v>
      </c>
      <c r="D24" s="4">
        <v>12203</v>
      </c>
      <c r="E24" s="5">
        <f t="shared" si="1"/>
        <v>-0.49729999999999919</v>
      </c>
      <c r="F24" s="5">
        <f>IF(COUNT(flow_components!C24:E24)=3,SUM(flow_components!C24:E24),"")</f>
        <v>26.621298064999998</v>
      </c>
      <c r="G24" s="5">
        <v>104.7817</v>
      </c>
      <c r="H24" s="5">
        <v>88.355999999999995</v>
      </c>
      <c r="I24" s="5">
        <v>2.1640000000000001</v>
      </c>
      <c r="J24" s="5">
        <v>13.33</v>
      </c>
      <c r="K24" s="5">
        <v>7.5</v>
      </c>
      <c r="L24" s="5">
        <v>0</v>
      </c>
      <c r="M24" s="5">
        <v>0.25</v>
      </c>
      <c r="N24" s="5">
        <f t="shared" si="2"/>
        <v>0.125</v>
      </c>
      <c r="O24" s="5">
        <f t="shared" si="3"/>
        <v>7.375</v>
      </c>
      <c r="P24" s="3">
        <f>IF(COUNTIFS(rating_events!$B$2:$B$13,C24,rating_events!$D$2:$D$13,"rating_upgrade")&gt;0,1,0)</f>
        <v>0</v>
      </c>
      <c r="Q24" s="3">
        <f>IF(COUNTIFS(rating_events!$B$2:$B$13,C24,rating_events!$D$2:$D$13,"rating_downgrade")&gt;0,1,0)</f>
        <v>0</v>
      </c>
      <c r="R24" s="3">
        <f>IF(COUNTIFS(rating_events!$B$2:$B$13,C24,rating_events!$D$2:$D$13,"outlook_improvement")&gt;0,1,0)</f>
        <v>0</v>
      </c>
      <c r="S24" s="3">
        <f>IF(COUNTIFS(rating_events!$B$2:$B$13,C24,rating_events!$D$2:$D$13,"outlook_deterioration")&gt;0,1,0)</f>
        <v>0</v>
      </c>
      <c r="T24" s="5">
        <v>13.544700000000001</v>
      </c>
      <c r="U24" s="5">
        <v>14.042</v>
      </c>
      <c r="V24" s="3">
        <v>0</v>
      </c>
      <c r="W24" s="3">
        <v>0</v>
      </c>
      <c r="X24" s="3">
        <f t="shared" si="4"/>
        <v>1</v>
      </c>
      <c r="Y24" s="3">
        <f t="shared" si="5"/>
        <v>1</v>
      </c>
    </row>
    <row r="25" spans="1:25" ht="18" customHeight="1">
      <c r="A25" s="3">
        <v>2014</v>
      </c>
      <c r="B25" s="3">
        <v>12</v>
      </c>
      <c r="C25" s="3">
        <f t="shared" si="0"/>
        <v>659</v>
      </c>
      <c r="D25" s="4">
        <v>12385</v>
      </c>
      <c r="E25" s="5">
        <f t="shared" si="1"/>
        <v>1.2999999999987466E-3</v>
      </c>
      <c r="F25" s="5">
        <f>IF(COUNT(flow_components!C25:E25)=3,SUM(flow_components!C25:E25),"")</f>
        <v>-28.083596035999999</v>
      </c>
      <c r="G25" s="5">
        <v>105.5039</v>
      </c>
      <c r="H25" s="5">
        <v>90.269000000000005</v>
      </c>
      <c r="I25" s="5">
        <v>2.1711999999999998</v>
      </c>
      <c r="J25" s="5">
        <v>19.2</v>
      </c>
      <c r="K25" s="5">
        <v>7.75</v>
      </c>
      <c r="L25" s="5">
        <v>0</v>
      </c>
      <c r="M25" s="5">
        <v>0.25</v>
      </c>
      <c r="N25" s="5">
        <f t="shared" si="2"/>
        <v>0.125</v>
      </c>
      <c r="O25" s="5">
        <f t="shared" si="3"/>
        <v>7.625</v>
      </c>
      <c r="P25" s="3">
        <f>IF(COUNTIFS(rating_events!$B$2:$B$13,C25,rating_events!$D$2:$D$13,"rating_upgrade")&gt;0,1,0)</f>
        <v>0</v>
      </c>
      <c r="Q25" s="3">
        <f>IF(COUNTIFS(rating_events!$B$2:$B$13,C25,rating_events!$D$2:$D$13,"rating_downgrade")&gt;0,1,0)</f>
        <v>0</v>
      </c>
      <c r="R25" s="3">
        <f>IF(COUNTIFS(rating_events!$B$2:$B$13,C25,rating_events!$D$2:$D$13,"outlook_improvement")&gt;0,1,0)</f>
        <v>0</v>
      </c>
      <c r="S25" s="3">
        <f>IF(COUNTIFS(rating_events!$B$2:$B$13,C25,rating_events!$D$2:$D$13,"outlook_deterioration")&gt;0,1,0)</f>
        <v>0</v>
      </c>
      <c r="T25" s="5">
        <v>14.436299999999999</v>
      </c>
      <c r="U25" s="5">
        <v>14.435</v>
      </c>
      <c r="V25" s="3">
        <v>0</v>
      </c>
      <c r="W25" s="3">
        <v>0</v>
      </c>
      <c r="X25" s="3">
        <f t="shared" si="4"/>
        <v>1</v>
      </c>
      <c r="Y25" s="3">
        <f t="shared" si="5"/>
        <v>1</v>
      </c>
    </row>
    <row r="26" spans="1:25" ht="18" customHeight="1">
      <c r="A26" s="3">
        <v>2015</v>
      </c>
      <c r="B26" s="3">
        <v>1</v>
      </c>
      <c r="C26" s="3">
        <f t="shared" si="0"/>
        <v>660</v>
      </c>
      <c r="D26" s="4">
        <v>12670</v>
      </c>
      <c r="E26" s="5">
        <f t="shared" si="1"/>
        <v>0.63229999999999897</v>
      </c>
      <c r="F26" s="5">
        <f>IF(COUNT(flow_components!C26:E26)=3,SUM(flow_components!C26:E26),"")</f>
        <v>39.165954950000007</v>
      </c>
      <c r="G26" s="5">
        <v>107.8095</v>
      </c>
      <c r="H26" s="5">
        <v>94.804000000000002</v>
      </c>
      <c r="I26" s="5">
        <v>1.6407</v>
      </c>
      <c r="J26" s="5">
        <v>20.97</v>
      </c>
      <c r="K26" s="5">
        <v>7.75</v>
      </c>
      <c r="L26" s="5">
        <v>0</v>
      </c>
      <c r="M26" s="5">
        <v>0.25</v>
      </c>
      <c r="N26" s="5">
        <f t="shared" si="2"/>
        <v>0.125</v>
      </c>
      <c r="O26" s="5">
        <f t="shared" si="3"/>
        <v>7.625</v>
      </c>
      <c r="P26" s="3">
        <f>IF(COUNTIFS(rating_events!$B$2:$B$13,C26,rating_events!$D$2:$D$13,"rating_upgrade")&gt;0,1,0)</f>
        <v>0</v>
      </c>
      <c r="Q26" s="3">
        <f>IF(COUNTIFS(rating_events!$B$2:$B$13,C26,rating_events!$D$2:$D$13,"rating_downgrade")&gt;0,1,0)</f>
        <v>0</v>
      </c>
      <c r="R26" s="3">
        <f>IF(COUNTIFS(rating_events!$B$2:$B$13,C26,rating_events!$D$2:$D$13,"outlook_improvement")&gt;0,1,0)</f>
        <v>0</v>
      </c>
      <c r="S26" s="3">
        <f>IF(COUNTIFS(rating_events!$B$2:$B$13,C26,rating_events!$D$2:$D$13,"outlook_deterioration")&gt;0,1,0)</f>
        <v>0</v>
      </c>
      <c r="T26" s="5">
        <v>13.244899999999999</v>
      </c>
      <c r="U26" s="5">
        <v>12.6126</v>
      </c>
      <c r="V26" s="3">
        <v>0</v>
      </c>
      <c r="W26" s="3">
        <v>0</v>
      </c>
      <c r="X26" s="3">
        <f t="shared" si="4"/>
        <v>1</v>
      </c>
      <c r="Y26" s="3">
        <f t="shared" si="5"/>
        <v>1</v>
      </c>
    </row>
    <row r="27" spans="1:25" ht="18" customHeight="1">
      <c r="A27" s="3">
        <v>2015</v>
      </c>
      <c r="B27" s="3">
        <v>2</v>
      </c>
      <c r="C27" s="3">
        <f t="shared" si="0"/>
        <v>661</v>
      </c>
      <c r="D27" s="4">
        <v>12928</v>
      </c>
      <c r="E27" s="5">
        <f t="shared" si="1"/>
        <v>0.66269999999999918</v>
      </c>
      <c r="F27" s="5">
        <f>IF(COUNT(flow_components!C27:E27)=3,SUM(flow_components!C27:E27),"")</f>
        <v>17.071420798000002</v>
      </c>
      <c r="G27" s="5">
        <v>109.22915</v>
      </c>
      <c r="H27" s="5">
        <v>95.293000000000006</v>
      </c>
      <c r="I27" s="5">
        <v>1.9930000000000001</v>
      </c>
      <c r="J27" s="5">
        <v>13.34</v>
      </c>
      <c r="K27" s="5">
        <v>7.5</v>
      </c>
      <c r="L27" s="5">
        <v>0</v>
      </c>
      <c r="M27" s="5">
        <v>0.25</v>
      </c>
      <c r="N27" s="5">
        <f t="shared" si="2"/>
        <v>0.125</v>
      </c>
      <c r="O27" s="5">
        <f t="shared" si="3"/>
        <v>7.375</v>
      </c>
      <c r="P27" s="3">
        <f>IF(COUNTIFS(rating_events!$B$2:$B$13,C27,rating_events!$D$2:$D$13,"rating_upgrade")&gt;0,1,0)</f>
        <v>0</v>
      </c>
      <c r="Q27" s="3">
        <f>IF(COUNTIFS(rating_events!$B$2:$B$13,C27,rating_events!$D$2:$D$13,"rating_downgrade")&gt;0,1,0)</f>
        <v>0</v>
      </c>
      <c r="R27" s="3">
        <f>IF(COUNTIFS(rating_events!$B$2:$B$13,C27,rating_events!$D$2:$D$13,"outlook_improvement")&gt;0,1,0)</f>
        <v>0</v>
      </c>
      <c r="S27" s="3">
        <f>IF(COUNTIFS(rating_events!$B$2:$B$13,C27,rating_events!$D$2:$D$13,"outlook_deterioration")&gt;0,1,0)</f>
        <v>0</v>
      </c>
      <c r="T27" s="5">
        <v>12.172799999999999</v>
      </c>
      <c r="U27" s="5">
        <v>11.5101</v>
      </c>
      <c r="V27" s="3">
        <v>0</v>
      </c>
      <c r="W27" s="3">
        <v>0</v>
      </c>
      <c r="X27" s="3">
        <f t="shared" si="4"/>
        <v>1</v>
      </c>
      <c r="Y27" s="3">
        <f t="shared" si="5"/>
        <v>1</v>
      </c>
    </row>
    <row r="28" spans="1:25" ht="18" customHeight="1">
      <c r="A28" s="3">
        <v>2015</v>
      </c>
      <c r="B28" s="3">
        <v>3</v>
      </c>
      <c r="C28" s="3">
        <f t="shared" si="0"/>
        <v>662</v>
      </c>
      <c r="D28" s="4">
        <v>13075</v>
      </c>
      <c r="E28" s="5">
        <f t="shared" si="1"/>
        <v>1.0252999999999997</v>
      </c>
      <c r="F28" s="5">
        <f>IF(COUNT(flow_components!C28:E28)=3,SUM(flow_components!C28:E28),"")</f>
        <v>-9.0210545110000009</v>
      </c>
      <c r="G28" s="5">
        <v>105.36944</v>
      </c>
      <c r="H28" s="5">
        <v>98.356999999999999</v>
      </c>
      <c r="I28" s="5">
        <v>1.9231</v>
      </c>
      <c r="J28" s="5">
        <v>15.29</v>
      </c>
      <c r="K28" s="5">
        <v>7.5</v>
      </c>
      <c r="L28" s="5">
        <v>0</v>
      </c>
      <c r="M28" s="5">
        <v>0.25</v>
      </c>
      <c r="N28" s="5">
        <f t="shared" si="2"/>
        <v>0.125</v>
      </c>
      <c r="O28" s="5">
        <f t="shared" si="3"/>
        <v>7.375</v>
      </c>
      <c r="P28" s="3">
        <f>IF(COUNTIFS(rating_events!$B$2:$B$13,C28,rating_events!$D$2:$D$13,"rating_upgrade")&gt;0,1,0)</f>
        <v>0</v>
      </c>
      <c r="Q28" s="3">
        <f>IF(COUNTIFS(rating_events!$B$2:$B$13,C28,rating_events!$D$2:$D$13,"rating_downgrade")&gt;0,1,0)</f>
        <v>0</v>
      </c>
      <c r="R28" s="3">
        <f>IF(COUNTIFS(rating_events!$B$2:$B$13,C28,rating_events!$D$2:$D$13,"outlook_improvement")&gt;0,1,0)</f>
        <v>0</v>
      </c>
      <c r="S28" s="3">
        <f>IF(COUNTIFS(rating_events!$B$2:$B$13,C28,rating_events!$D$2:$D$13,"outlook_deterioration")&gt;0,1,0)</f>
        <v>0</v>
      </c>
      <c r="T28" s="5">
        <v>13.634</v>
      </c>
      <c r="U28" s="5">
        <v>12.608700000000001</v>
      </c>
      <c r="V28" s="3">
        <v>0</v>
      </c>
      <c r="W28" s="3">
        <v>0</v>
      </c>
      <c r="X28" s="3">
        <f t="shared" si="4"/>
        <v>1</v>
      </c>
      <c r="Y28" s="3">
        <f t="shared" si="5"/>
        <v>1</v>
      </c>
    </row>
    <row r="29" spans="1:25" ht="18" customHeight="1">
      <c r="A29" s="3">
        <v>2015</v>
      </c>
      <c r="B29" s="3">
        <v>4</v>
      </c>
      <c r="C29" s="3">
        <f t="shared" si="0"/>
        <v>663</v>
      </c>
      <c r="D29" s="4">
        <v>12964</v>
      </c>
      <c r="E29" s="5">
        <f t="shared" si="1"/>
        <v>0.47830000000000084</v>
      </c>
      <c r="F29" s="5">
        <f>IF(COUNT(flow_components!C29:E29)=3,SUM(flow_components!C29:E29),"")</f>
        <v>10.318313625999995</v>
      </c>
      <c r="G29" s="5">
        <v>104.60093999999999</v>
      </c>
      <c r="H29" s="5">
        <v>94.6</v>
      </c>
      <c r="I29" s="5">
        <v>2.0316999999999998</v>
      </c>
      <c r="J29" s="5">
        <v>14.55</v>
      </c>
      <c r="K29" s="5">
        <v>7.5</v>
      </c>
      <c r="L29" s="5">
        <v>0</v>
      </c>
      <c r="M29" s="5">
        <v>0.25</v>
      </c>
      <c r="N29" s="5">
        <f t="shared" si="2"/>
        <v>0.125</v>
      </c>
      <c r="O29" s="5">
        <f t="shared" si="3"/>
        <v>7.375</v>
      </c>
      <c r="P29" s="3">
        <f>IF(COUNTIFS(rating_events!$B$2:$B$13,C29,rating_events!$D$2:$D$13,"rating_upgrade")&gt;0,1,0)</f>
        <v>0</v>
      </c>
      <c r="Q29" s="3">
        <f>IF(COUNTIFS(rating_events!$B$2:$B$13,C29,rating_events!$D$2:$D$13,"rating_downgrade")&gt;0,1,0)</f>
        <v>0</v>
      </c>
      <c r="R29" s="3">
        <f>IF(COUNTIFS(rating_events!$B$2:$B$13,C29,rating_events!$D$2:$D$13,"outlook_improvement")&gt;0,1,0)</f>
        <v>0</v>
      </c>
      <c r="S29" s="3">
        <f>IF(COUNTIFS(rating_events!$B$2:$B$13,C29,rating_events!$D$2:$D$13,"outlook_deterioration")&gt;0,1,0)</f>
        <v>0</v>
      </c>
      <c r="T29" s="5">
        <v>13.1046</v>
      </c>
      <c r="U29" s="5">
        <v>12.626299999999999</v>
      </c>
      <c r="V29" s="3">
        <v>0</v>
      </c>
      <c r="W29" s="3">
        <v>0</v>
      </c>
      <c r="X29" s="3">
        <f t="shared" si="4"/>
        <v>1</v>
      </c>
      <c r="Y29" s="3">
        <f t="shared" si="5"/>
        <v>1</v>
      </c>
    </row>
    <row r="30" spans="1:25" ht="18" customHeight="1">
      <c r="A30" s="3">
        <v>2015</v>
      </c>
      <c r="B30" s="3">
        <v>5</v>
      </c>
      <c r="C30" s="3">
        <f t="shared" si="0"/>
        <v>664</v>
      </c>
      <c r="D30" s="4">
        <v>13225</v>
      </c>
      <c r="E30" s="5">
        <f t="shared" si="1"/>
        <v>1.1411000000000016</v>
      </c>
      <c r="F30" s="5">
        <f>IF(COUNT(flow_components!C30:E30)=3,SUM(flow_components!C30:E30),"")</f>
        <v>1.6261318279999997</v>
      </c>
      <c r="G30" s="5">
        <v>104.57886999999999</v>
      </c>
      <c r="H30" s="5">
        <v>96.906999999999996</v>
      </c>
      <c r="I30" s="5">
        <v>2.1214</v>
      </c>
      <c r="J30" s="5">
        <v>13.84</v>
      </c>
      <c r="K30" s="5">
        <v>7.5</v>
      </c>
      <c r="L30" s="5">
        <v>0</v>
      </c>
      <c r="M30" s="5">
        <v>0.25</v>
      </c>
      <c r="N30" s="5">
        <f t="shared" si="2"/>
        <v>0.125</v>
      </c>
      <c r="O30" s="5">
        <f t="shared" si="3"/>
        <v>7.375</v>
      </c>
      <c r="P30" s="3">
        <f>IF(COUNTIFS(rating_events!$B$2:$B$13,C30,rating_events!$D$2:$D$13,"rating_upgrade")&gt;0,1,0)</f>
        <v>0</v>
      </c>
      <c r="Q30" s="3">
        <f>IF(COUNTIFS(rating_events!$B$2:$B$13,C30,rating_events!$D$2:$D$13,"rating_downgrade")&gt;0,1,0)</f>
        <v>0</v>
      </c>
      <c r="R30" s="3">
        <f>IF(COUNTIFS(rating_events!$B$2:$B$13,C30,rating_events!$D$2:$D$13,"outlook_improvement")&gt;0,1,0)</f>
        <v>1</v>
      </c>
      <c r="S30" s="3">
        <f>IF(COUNTIFS(rating_events!$B$2:$B$13,C30,rating_events!$D$2:$D$13,"outlook_deterioration")&gt;0,1,0)</f>
        <v>0</v>
      </c>
      <c r="T30" s="5">
        <v>12.754700000000001</v>
      </c>
      <c r="U30" s="5">
        <v>11.6136</v>
      </c>
      <c r="V30" s="3">
        <v>0</v>
      </c>
      <c r="W30" s="3">
        <v>0</v>
      </c>
      <c r="X30" s="3">
        <f t="shared" si="4"/>
        <v>1</v>
      </c>
      <c r="Y30" s="3">
        <f t="shared" si="5"/>
        <v>1</v>
      </c>
    </row>
    <row r="31" spans="1:25" ht="18" customHeight="1">
      <c r="A31" s="3">
        <v>2015</v>
      </c>
      <c r="B31" s="3">
        <v>6</v>
      </c>
      <c r="C31" s="3">
        <f t="shared" si="0"/>
        <v>665</v>
      </c>
      <c r="D31" s="4">
        <v>13333</v>
      </c>
      <c r="E31" s="5">
        <f t="shared" si="1"/>
        <v>0.53600000000000136</v>
      </c>
      <c r="F31" s="5">
        <f>IF(COUNT(flow_components!C31:E31)=3,SUM(flow_components!C31:E31),"")</f>
        <v>17.559313017999997</v>
      </c>
      <c r="G31" s="5">
        <v>101.83454</v>
      </c>
      <c r="H31" s="5">
        <v>95.484999999999999</v>
      </c>
      <c r="I31" s="5">
        <v>2.3531</v>
      </c>
      <c r="J31" s="5">
        <v>18.23</v>
      </c>
      <c r="K31" s="5">
        <v>7.5</v>
      </c>
      <c r="L31" s="5">
        <v>0</v>
      </c>
      <c r="M31" s="5">
        <v>0.25</v>
      </c>
      <c r="N31" s="5">
        <f t="shared" si="2"/>
        <v>0.125</v>
      </c>
      <c r="O31" s="5">
        <f t="shared" si="3"/>
        <v>7.375</v>
      </c>
      <c r="P31" s="3">
        <f>IF(COUNTIFS(rating_events!$B$2:$B$13,C31,rating_events!$D$2:$D$13,"rating_upgrade")&gt;0,1,0)</f>
        <v>0</v>
      </c>
      <c r="Q31" s="3">
        <f>IF(COUNTIFS(rating_events!$B$2:$B$13,C31,rating_events!$D$2:$D$13,"rating_downgrade")&gt;0,1,0)</f>
        <v>0</v>
      </c>
      <c r="R31" s="3">
        <f>IF(COUNTIFS(rating_events!$B$2:$B$13,C31,rating_events!$D$2:$D$13,"outlook_improvement")&gt;0,1,0)</f>
        <v>0</v>
      </c>
      <c r="S31" s="3">
        <f>IF(COUNTIFS(rating_events!$B$2:$B$13,C31,rating_events!$D$2:$D$13,"outlook_deterioration")&gt;0,1,0)</f>
        <v>0</v>
      </c>
      <c r="T31" s="5">
        <v>13.514100000000001</v>
      </c>
      <c r="U31" s="5">
        <v>12.9781</v>
      </c>
      <c r="V31" s="3">
        <v>0</v>
      </c>
      <c r="W31" s="3">
        <v>0</v>
      </c>
      <c r="X31" s="3">
        <f t="shared" si="4"/>
        <v>1</v>
      </c>
      <c r="Y31" s="3">
        <f t="shared" si="5"/>
        <v>1</v>
      </c>
    </row>
    <row r="32" spans="1:25" ht="18" customHeight="1">
      <c r="A32" s="3">
        <v>2015</v>
      </c>
      <c r="B32" s="3">
        <v>7</v>
      </c>
      <c r="C32" s="3">
        <f t="shared" si="0"/>
        <v>666</v>
      </c>
      <c r="D32" s="4">
        <v>13531</v>
      </c>
      <c r="E32" s="5">
        <f t="shared" si="1"/>
        <v>1.3839000000000006</v>
      </c>
      <c r="F32" s="5">
        <f>IF(COUNT(flow_components!C32:E32)=3,SUM(flow_components!C32:E32),"")</f>
        <v>-3.7656193939999998</v>
      </c>
      <c r="G32" s="5">
        <v>101.60469999999999</v>
      </c>
      <c r="H32" s="5">
        <v>97.335999999999999</v>
      </c>
      <c r="I32" s="5">
        <v>2.1800999999999999</v>
      </c>
      <c r="J32" s="5">
        <v>12.12</v>
      </c>
      <c r="K32" s="5">
        <v>7.5</v>
      </c>
      <c r="L32" s="5">
        <v>0</v>
      </c>
      <c r="M32" s="5">
        <v>0.25</v>
      </c>
      <c r="N32" s="5">
        <f t="shared" si="2"/>
        <v>0.125</v>
      </c>
      <c r="O32" s="5">
        <f t="shared" si="3"/>
        <v>7.375</v>
      </c>
      <c r="P32" s="3">
        <f>IF(COUNTIFS(rating_events!$B$2:$B$13,C32,rating_events!$D$2:$D$13,"rating_upgrade")&gt;0,1,0)</f>
        <v>0</v>
      </c>
      <c r="Q32" s="3">
        <f>IF(COUNTIFS(rating_events!$B$2:$B$13,C32,rating_events!$D$2:$D$13,"rating_downgrade")&gt;0,1,0)</f>
        <v>0</v>
      </c>
      <c r="R32" s="3">
        <f>IF(COUNTIFS(rating_events!$B$2:$B$13,C32,rating_events!$D$2:$D$13,"outlook_improvement")&gt;0,1,0)</f>
        <v>0</v>
      </c>
      <c r="S32" s="3">
        <f>IF(COUNTIFS(rating_events!$B$2:$B$13,C32,rating_events!$D$2:$D$13,"outlook_deterioration")&gt;0,1,0)</f>
        <v>0</v>
      </c>
      <c r="T32" s="5">
        <v>11.4658</v>
      </c>
      <c r="U32" s="5">
        <v>10.081899999999999</v>
      </c>
      <c r="V32" s="3">
        <v>0</v>
      </c>
      <c r="W32" s="3">
        <v>0</v>
      </c>
      <c r="X32" s="3">
        <f t="shared" si="4"/>
        <v>1</v>
      </c>
      <c r="Y32" s="3">
        <f t="shared" si="5"/>
        <v>1</v>
      </c>
    </row>
    <row r="33" spans="1:25" ht="18" customHeight="1">
      <c r="A33" s="3">
        <v>2015</v>
      </c>
      <c r="B33" s="3">
        <v>8</v>
      </c>
      <c r="C33" s="3">
        <f t="shared" si="0"/>
        <v>667</v>
      </c>
      <c r="D33" s="4">
        <v>14053</v>
      </c>
      <c r="E33" s="5">
        <f t="shared" si="1"/>
        <v>0.32680000000000042</v>
      </c>
      <c r="F33" s="5">
        <f>IF(COUNT(flow_components!C33:E33)=3,SUM(flow_components!C33:E33),"")</f>
        <v>-16.832675369999997</v>
      </c>
      <c r="G33" s="5">
        <v>99.252420000000001</v>
      </c>
      <c r="H33" s="5">
        <v>95.823999999999998</v>
      </c>
      <c r="I33" s="5">
        <v>2.2179000000000002</v>
      </c>
      <c r="J33" s="5">
        <v>28.43</v>
      </c>
      <c r="K33" s="5">
        <v>7.5</v>
      </c>
      <c r="L33" s="5">
        <v>0</v>
      </c>
      <c r="M33" s="5">
        <v>0.25</v>
      </c>
      <c r="N33" s="5">
        <f t="shared" si="2"/>
        <v>0.125</v>
      </c>
      <c r="O33" s="5">
        <f t="shared" si="3"/>
        <v>7.375</v>
      </c>
      <c r="P33" s="3">
        <f>IF(COUNTIFS(rating_events!$B$2:$B$13,C33,rating_events!$D$2:$D$13,"rating_upgrade")&gt;0,1,0)</f>
        <v>0</v>
      </c>
      <c r="Q33" s="3">
        <f>IF(COUNTIFS(rating_events!$B$2:$B$13,C33,rating_events!$D$2:$D$13,"rating_downgrade")&gt;0,1,0)</f>
        <v>0</v>
      </c>
      <c r="R33" s="3">
        <f>IF(COUNTIFS(rating_events!$B$2:$B$13,C33,rating_events!$D$2:$D$13,"outlook_improvement")&gt;0,1,0)</f>
        <v>0</v>
      </c>
      <c r="S33" s="3">
        <f>IF(COUNTIFS(rating_events!$B$2:$B$13,C33,rating_events!$D$2:$D$13,"outlook_deterioration")&gt;0,1,0)</f>
        <v>0</v>
      </c>
      <c r="T33" s="5">
        <v>12.726000000000001</v>
      </c>
      <c r="U33" s="5">
        <v>12.3992</v>
      </c>
      <c r="V33" s="3">
        <v>0</v>
      </c>
      <c r="W33" s="3">
        <v>0</v>
      </c>
      <c r="X33" s="3">
        <f t="shared" si="4"/>
        <v>1</v>
      </c>
      <c r="Y33" s="3">
        <f t="shared" si="5"/>
        <v>1</v>
      </c>
    </row>
    <row r="34" spans="1:25" ht="18" customHeight="1">
      <c r="A34" s="3">
        <v>2015</v>
      </c>
      <c r="B34" s="3">
        <v>9</v>
      </c>
      <c r="C34" s="3">
        <f t="shared" ref="C34:C65" si="6">12*(A34-1960)+B34-1</f>
        <v>668</v>
      </c>
      <c r="D34" s="4">
        <v>14651</v>
      </c>
      <c r="E34" s="5">
        <f t="shared" ref="E34:E65" si="7">IF(COUNT(T34:U34)=2,T34-U34,"")</f>
        <v>1.0297999999999998</v>
      </c>
      <c r="F34" s="5">
        <f>IF(COUNT(flow_components!C34:E34)=3,SUM(flow_components!C34:E34),"")</f>
        <v>-8.5826003260000014</v>
      </c>
      <c r="G34" s="5">
        <v>95.639679999999998</v>
      </c>
      <c r="H34" s="5">
        <v>96.35</v>
      </c>
      <c r="I34" s="5">
        <v>2.0367999999999999</v>
      </c>
      <c r="J34" s="5">
        <v>24.5</v>
      </c>
      <c r="K34" s="5">
        <v>7.5</v>
      </c>
      <c r="L34" s="5">
        <v>0</v>
      </c>
      <c r="M34" s="5">
        <v>0.25</v>
      </c>
      <c r="N34" s="5">
        <f t="shared" ref="N34:N65" si="8">(L34+M34)/2</f>
        <v>0.125</v>
      </c>
      <c r="O34" s="5">
        <f t="shared" ref="O34:O65" si="9">K34-N34</f>
        <v>7.375</v>
      </c>
      <c r="P34" s="3">
        <f>IF(COUNTIFS(rating_events!$B$2:$B$13,C34,rating_events!$D$2:$D$13,"rating_upgrade")&gt;0,1,0)</f>
        <v>0</v>
      </c>
      <c r="Q34" s="3">
        <f>IF(COUNTIFS(rating_events!$B$2:$B$13,C34,rating_events!$D$2:$D$13,"rating_downgrade")&gt;0,1,0)</f>
        <v>0</v>
      </c>
      <c r="R34" s="3">
        <f>IF(COUNTIFS(rating_events!$B$2:$B$13,C34,rating_events!$D$2:$D$13,"outlook_improvement")&gt;0,1,0)</f>
        <v>0</v>
      </c>
      <c r="S34" s="3">
        <f>IF(COUNTIFS(rating_events!$B$2:$B$13,C34,rating_events!$D$2:$D$13,"outlook_deterioration")&gt;0,1,0)</f>
        <v>0</v>
      </c>
      <c r="T34" s="5">
        <v>12.5884</v>
      </c>
      <c r="U34" s="5">
        <v>11.5586</v>
      </c>
      <c r="V34" s="3">
        <v>0</v>
      </c>
      <c r="W34" s="3">
        <v>0</v>
      </c>
      <c r="X34" s="3">
        <f t="shared" ref="X34:X65" si="10">IF(AND(A34&gt;=2014,Y34=1),1,0)</f>
        <v>1</v>
      </c>
      <c r="Y34" s="3">
        <f t="shared" ref="Y34:Y65" si="11">IF(COUNT(D34:H34)=5,1,0)</f>
        <v>1</v>
      </c>
    </row>
    <row r="35" spans="1:25" ht="18" customHeight="1">
      <c r="A35" s="3">
        <v>2015</v>
      </c>
      <c r="B35" s="3">
        <v>10</v>
      </c>
      <c r="C35" s="3">
        <f t="shared" si="6"/>
        <v>669</v>
      </c>
      <c r="D35" s="4">
        <v>13695</v>
      </c>
      <c r="E35" s="5">
        <f t="shared" si="7"/>
        <v>1.0128000000000004</v>
      </c>
      <c r="F35" s="5">
        <f>IF(COUNT(flow_components!C35:E35)=3,SUM(flow_components!C35:E35),"")</f>
        <v>1.5286271379999992</v>
      </c>
      <c r="G35" s="5">
        <v>94.612840000000006</v>
      </c>
      <c r="H35" s="5">
        <v>96.945999999999998</v>
      </c>
      <c r="I35" s="5">
        <v>2.1421000000000001</v>
      </c>
      <c r="J35" s="5">
        <v>15.07</v>
      </c>
      <c r="K35" s="5">
        <v>7.5</v>
      </c>
      <c r="L35" s="5">
        <v>0</v>
      </c>
      <c r="M35" s="5">
        <v>0.25</v>
      </c>
      <c r="N35" s="5">
        <f t="shared" si="8"/>
        <v>0.125</v>
      </c>
      <c r="O35" s="5">
        <f t="shared" si="9"/>
        <v>7.375</v>
      </c>
      <c r="P35" s="3">
        <f>IF(COUNTIFS(rating_events!$B$2:$B$13,C35,rating_events!$D$2:$D$13,"rating_upgrade")&gt;0,1,0)</f>
        <v>0</v>
      </c>
      <c r="Q35" s="3">
        <f>IF(COUNTIFS(rating_events!$B$2:$B$13,C35,rating_events!$D$2:$D$13,"rating_downgrade")&gt;0,1,0)</f>
        <v>0</v>
      </c>
      <c r="R35" s="3">
        <f>IF(COUNTIFS(rating_events!$B$2:$B$13,C35,rating_events!$D$2:$D$13,"outlook_improvement")&gt;0,1,0)</f>
        <v>0</v>
      </c>
      <c r="S35" s="3">
        <f>IF(COUNTIFS(rating_events!$B$2:$B$13,C35,rating_events!$D$2:$D$13,"outlook_deterioration")&gt;0,1,0)</f>
        <v>0</v>
      </c>
      <c r="T35" s="5">
        <v>12.121700000000001</v>
      </c>
      <c r="U35" s="5">
        <v>11.1089</v>
      </c>
      <c r="V35" s="3">
        <v>0</v>
      </c>
      <c r="W35" s="3">
        <v>0</v>
      </c>
      <c r="X35" s="3">
        <f t="shared" si="10"/>
        <v>1</v>
      </c>
      <c r="Y35" s="3">
        <f t="shared" si="11"/>
        <v>1</v>
      </c>
    </row>
    <row r="36" spans="1:25" ht="18" customHeight="1">
      <c r="A36" s="3">
        <v>2015</v>
      </c>
      <c r="B36" s="3">
        <v>11</v>
      </c>
      <c r="C36" s="3">
        <f t="shared" si="6"/>
        <v>670</v>
      </c>
      <c r="D36" s="4">
        <v>13841</v>
      </c>
      <c r="E36" s="5">
        <f t="shared" si="7"/>
        <v>-0.39729999999999954</v>
      </c>
      <c r="F36" s="5">
        <f>IF(COUNT(flow_components!C36:E36)=3,SUM(flow_components!C36:E36),"")</f>
        <v>16.418627705000006</v>
      </c>
      <c r="G36" s="5">
        <v>94.428610000000006</v>
      </c>
      <c r="H36" s="5">
        <v>100.17</v>
      </c>
      <c r="I36" s="5">
        <v>2.206</v>
      </c>
      <c r="J36" s="5">
        <v>16.13</v>
      </c>
      <c r="K36" s="5">
        <v>7.5</v>
      </c>
      <c r="L36" s="5">
        <v>0</v>
      </c>
      <c r="M36" s="5">
        <v>0.25</v>
      </c>
      <c r="N36" s="5">
        <f t="shared" si="8"/>
        <v>0.125</v>
      </c>
      <c r="O36" s="5">
        <f t="shared" si="9"/>
        <v>7.375</v>
      </c>
      <c r="P36" s="3">
        <f>IF(COUNTIFS(rating_events!$B$2:$B$13,C36,rating_events!$D$2:$D$13,"rating_upgrade")&gt;0,1,0)</f>
        <v>0</v>
      </c>
      <c r="Q36" s="3">
        <f>IF(COUNTIFS(rating_events!$B$2:$B$13,C36,rating_events!$D$2:$D$13,"rating_downgrade")&gt;0,1,0)</f>
        <v>0</v>
      </c>
      <c r="R36" s="3">
        <f>IF(COUNTIFS(rating_events!$B$2:$B$13,C36,rating_events!$D$2:$D$13,"outlook_improvement")&gt;0,1,0)</f>
        <v>0</v>
      </c>
      <c r="S36" s="3">
        <f>IF(COUNTIFS(rating_events!$B$2:$B$13,C36,rating_events!$D$2:$D$13,"outlook_deterioration")&gt;0,1,0)</f>
        <v>0</v>
      </c>
      <c r="T36" s="5">
        <v>11.122200000000001</v>
      </c>
      <c r="U36" s="5">
        <v>11.519500000000001</v>
      </c>
      <c r="V36" s="3">
        <v>0</v>
      </c>
      <c r="W36" s="3">
        <v>0</v>
      </c>
      <c r="X36" s="3">
        <f t="shared" si="10"/>
        <v>1</v>
      </c>
      <c r="Y36" s="3">
        <f t="shared" si="11"/>
        <v>1</v>
      </c>
    </row>
    <row r="37" spans="1:25" ht="18" customHeight="1">
      <c r="A37" s="3">
        <v>2015</v>
      </c>
      <c r="B37" s="3">
        <v>12</v>
      </c>
      <c r="C37" s="3">
        <f t="shared" si="6"/>
        <v>671</v>
      </c>
      <c r="D37" s="4">
        <v>13788</v>
      </c>
      <c r="E37" s="5">
        <f t="shared" si="7"/>
        <v>-0.16019999999999968</v>
      </c>
      <c r="F37" s="5">
        <f>IF(COUNT(flow_components!C37:E37)=3,SUM(flow_components!C37:E37),"")</f>
        <v>10.690001894</v>
      </c>
      <c r="G37" s="5">
        <v>100.07283</v>
      </c>
      <c r="H37" s="5">
        <v>98.631</v>
      </c>
      <c r="I37" s="5">
        <v>2.2694000000000001</v>
      </c>
      <c r="J37" s="5">
        <v>18.21</v>
      </c>
      <c r="K37" s="5">
        <v>7.5</v>
      </c>
      <c r="L37" s="5">
        <v>0.25</v>
      </c>
      <c r="M37" s="5">
        <v>0.5</v>
      </c>
      <c r="N37" s="5">
        <f t="shared" si="8"/>
        <v>0.375</v>
      </c>
      <c r="O37" s="5">
        <f t="shared" si="9"/>
        <v>7.125</v>
      </c>
      <c r="P37" s="3">
        <f>IF(COUNTIFS(rating_events!$B$2:$B$13,C37,rating_events!$D$2:$D$13,"rating_upgrade")&gt;0,1,0)</f>
        <v>0</v>
      </c>
      <c r="Q37" s="3">
        <f>IF(COUNTIFS(rating_events!$B$2:$B$13,C37,rating_events!$D$2:$D$13,"rating_downgrade")&gt;0,1,0)</f>
        <v>0</v>
      </c>
      <c r="R37" s="3">
        <f>IF(COUNTIFS(rating_events!$B$2:$B$13,C37,rating_events!$D$2:$D$13,"outlook_improvement")&gt;0,1,0)</f>
        <v>0</v>
      </c>
      <c r="S37" s="3">
        <f>IF(COUNTIFS(rating_events!$B$2:$B$13,C37,rating_events!$D$2:$D$13,"outlook_deterioration")&gt;0,1,0)</f>
        <v>0</v>
      </c>
      <c r="T37" s="5">
        <v>11.9171</v>
      </c>
      <c r="U37" s="5">
        <v>12.077299999999999</v>
      </c>
      <c r="V37" s="3">
        <v>0</v>
      </c>
      <c r="W37" s="3">
        <v>0</v>
      </c>
      <c r="X37" s="3">
        <f t="shared" si="10"/>
        <v>1</v>
      </c>
      <c r="Y37" s="3">
        <f t="shared" si="11"/>
        <v>1</v>
      </c>
    </row>
    <row r="38" spans="1:25" ht="18" customHeight="1">
      <c r="A38" s="3">
        <v>2016</v>
      </c>
      <c r="B38" s="3">
        <v>1</v>
      </c>
      <c r="C38" s="3">
        <f t="shared" si="6"/>
        <v>672</v>
      </c>
      <c r="D38" s="4">
        <v>13776</v>
      </c>
      <c r="E38" s="5">
        <f t="shared" si="7"/>
        <v>0.11489999999999867</v>
      </c>
      <c r="F38" s="5">
        <f>IF(COUNT(flow_components!C38:E38)=3,SUM(flow_components!C38:E38),"")</f>
        <v>17.346954474</v>
      </c>
      <c r="G38" s="5">
        <v>96.152360000000002</v>
      </c>
      <c r="H38" s="5">
        <v>99.605999999999995</v>
      </c>
      <c r="I38" s="5">
        <v>1.9209000000000001</v>
      </c>
      <c r="J38" s="5">
        <v>20.2</v>
      </c>
      <c r="K38" s="5">
        <v>7.25</v>
      </c>
      <c r="L38" s="5">
        <v>0.25</v>
      </c>
      <c r="M38" s="5">
        <v>0.5</v>
      </c>
      <c r="N38" s="5">
        <f t="shared" si="8"/>
        <v>0.375</v>
      </c>
      <c r="O38" s="5">
        <f t="shared" si="9"/>
        <v>6.875</v>
      </c>
      <c r="P38" s="3">
        <f>IF(COUNTIFS(rating_events!$B$2:$B$13,C38,rating_events!$D$2:$D$13,"rating_upgrade")&gt;0,1,0)</f>
        <v>0</v>
      </c>
      <c r="Q38" s="3">
        <f>IF(COUNTIFS(rating_events!$B$2:$B$13,C38,rating_events!$D$2:$D$13,"rating_downgrade")&gt;0,1,0)</f>
        <v>0</v>
      </c>
      <c r="R38" s="3">
        <f>IF(COUNTIFS(rating_events!$B$2:$B$13,C38,rating_events!$D$2:$D$13,"outlook_improvement")&gt;0,1,0)</f>
        <v>0</v>
      </c>
      <c r="S38" s="3">
        <f>IF(COUNTIFS(rating_events!$B$2:$B$13,C38,rating_events!$D$2:$D$13,"outlook_deterioration")&gt;0,1,0)</f>
        <v>0</v>
      </c>
      <c r="T38" s="5">
        <v>10.581899999999999</v>
      </c>
      <c r="U38" s="5">
        <v>10.467000000000001</v>
      </c>
      <c r="V38" s="3">
        <v>0</v>
      </c>
      <c r="W38" s="3">
        <v>0</v>
      </c>
      <c r="X38" s="3">
        <f t="shared" si="10"/>
        <v>1</v>
      </c>
      <c r="Y38" s="3">
        <f t="shared" si="11"/>
        <v>1</v>
      </c>
    </row>
    <row r="39" spans="1:25" ht="18" customHeight="1">
      <c r="A39" s="3">
        <v>2016</v>
      </c>
      <c r="B39" s="3">
        <v>2</v>
      </c>
      <c r="C39" s="3">
        <f t="shared" si="6"/>
        <v>673</v>
      </c>
      <c r="D39" s="4">
        <v>13376</v>
      </c>
      <c r="E39" s="5">
        <f t="shared" si="7"/>
        <v>1.1410999999999998</v>
      </c>
      <c r="F39" s="5">
        <f>IF(COUNT(flow_components!C39:E39)=3,SUM(flow_components!C39:E39),"")</f>
        <v>12.642721571000003</v>
      </c>
      <c r="G39" s="5">
        <v>98.268519999999995</v>
      </c>
      <c r="H39" s="5">
        <v>98.210999999999999</v>
      </c>
      <c r="I39" s="5">
        <v>1.7346999999999999</v>
      </c>
      <c r="J39" s="5">
        <v>20.55</v>
      </c>
      <c r="K39" s="5">
        <v>7</v>
      </c>
      <c r="L39" s="5">
        <v>0.25</v>
      </c>
      <c r="M39" s="5">
        <v>0.5</v>
      </c>
      <c r="N39" s="5">
        <f t="shared" si="8"/>
        <v>0.375</v>
      </c>
      <c r="O39" s="5">
        <f t="shared" si="9"/>
        <v>6.625</v>
      </c>
      <c r="P39" s="3">
        <f>IF(COUNTIFS(rating_events!$B$2:$B$13,C39,rating_events!$D$2:$D$13,"rating_upgrade")&gt;0,1,0)</f>
        <v>0</v>
      </c>
      <c r="Q39" s="3">
        <f>IF(COUNTIFS(rating_events!$B$2:$B$13,C39,rating_events!$D$2:$D$13,"rating_downgrade")&gt;0,1,0)</f>
        <v>0</v>
      </c>
      <c r="R39" s="3">
        <f>IF(COUNTIFS(rating_events!$B$2:$B$13,C39,rating_events!$D$2:$D$13,"outlook_improvement")&gt;0,1,0)</f>
        <v>0</v>
      </c>
      <c r="S39" s="3">
        <f>IF(COUNTIFS(rating_events!$B$2:$B$13,C39,rating_events!$D$2:$D$13,"outlook_deterioration")&gt;0,1,0)</f>
        <v>0</v>
      </c>
      <c r="T39" s="5">
        <v>11.316700000000001</v>
      </c>
      <c r="U39" s="5">
        <v>10.175600000000001</v>
      </c>
      <c r="V39" s="3">
        <v>0</v>
      </c>
      <c r="W39" s="3">
        <v>0</v>
      </c>
      <c r="X39" s="3">
        <f t="shared" si="10"/>
        <v>1</v>
      </c>
      <c r="Y39" s="3">
        <f t="shared" si="11"/>
        <v>1</v>
      </c>
    </row>
    <row r="40" spans="1:25" ht="18" customHeight="1">
      <c r="A40" s="3">
        <v>2016</v>
      </c>
      <c r="B40" s="3">
        <v>3</v>
      </c>
      <c r="C40" s="3">
        <f t="shared" si="6"/>
        <v>674</v>
      </c>
      <c r="D40" s="4">
        <v>13260</v>
      </c>
      <c r="E40" s="5">
        <f t="shared" si="7"/>
        <v>0.51040000000000063</v>
      </c>
      <c r="F40" s="5">
        <f>IF(COUNT(flow_components!C40:E40)=3,SUM(flow_components!C40:E40),"")</f>
        <v>19.845426432000004</v>
      </c>
      <c r="G40" s="5">
        <v>101.20523</v>
      </c>
      <c r="H40" s="5">
        <v>94.585999999999999</v>
      </c>
      <c r="I40" s="5">
        <v>1.7686999999999999</v>
      </c>
      <c r="J40" s="5">
        <v>13.95</v>
      </c>
      <c r="K40" s="5">
        <v>6.75</v>
      </c>
      <c r="L40" s="5">
        <v>0.25</v>
      </c>
      <c r="M40" s="5">
        <v>0.5</v>
      </c>
      <c r="N40" s="5">
        <f t="shared" si="8"/>
        <v>0.375</v>
      </c>
      <c r="O40" s="5">
        <f t="shared" si="9"/>
        <v>6.375</v>
      </c>
      <c r="P40" s="3">
        <f>IF(COUNTIFS(rating_events!$B$2:$B$13,C40,rating_events!$D$2:$D$13,"rating_upgrade")&gt;0,1,0)</f>
        <v>0</v>
      </c>
      <c r="Q40" s="3">
        <f>IF(COUNTIFS(rating_events!$B$2:$B$13,C40,rating_events!$D$2:$D$13,"rating_downgrade")&gt;0,1,0)</f>
        <v>0</v>
      </c>
      <c r="R40" s="3">
        <f>IF(COUNTIFS(rating_events!$B$2:$B$13,C40,rating_events!$D$2:$D$13,"outlook_improvement")&gt;0,1,0)</f>
        <v>0</v>
      </c>
      <c r="S40" s="3">
        <f>IF(COUNTIFS(rating_events!$B$2:$B$13,C40,rating_events!$D$2:$D$13,"outlook_deterioration")&gt;0,1,0)</f>
        <v>0</v>
      </c>
      <c r="T40" s="5">
        <v>11.812100000000001</v>
      </c>
      <c r="U40" s="5">
        <v>11.3017</v>
      </c>
      <c r="V40" s="3">
        <v>0</v>
      </c>
      <c r="W40" s="3">
        <v>0</v>
      </c>
      <c r="X40" s="3">
        <f t="shared" si="10"/>
        <v>1</v>
      </c>
      <c r="Y40" s="3">
        <f t="shared" si="11"/>
        <v>1</v>
      </c>
    </row>
    <row r="41" spans="1:25" ht="18" customHeight="1">
      <c r="A41" s="3">
        <v>2016</v>
      </c>
      <c r="B41" s="3">
        <v>4</v>
      </c>
      <c r="C41" s="3">
        <f t="shared" si="6"/>
        <v>675</v>
      </c>
      <c r="D41" s="4">
        <v>13197</v>
      </c>
      <c r="E41" s="5">
        <f t="shared" si="7"/>
        <v>0.87609999999999921</v>
      </c>
      <c r="F41" s="5">
        <f>IF(COUNT(flow_components!C41:E41)=3,SUM(flow_components!C41:E41),"")</f>
        <v>20.377406732999997</v>
      </c>
      <c r="G41" s="5">
        <v>101.307</v>
      </c>
      <c r="H41" s="5">
        <v>93.081999999999994</v>
      </c>
      <c r="I41" s="5">
        <v>1.8332999999999999</v>
      </c>
      <c r="J41" s="5">
        <v>15.7</v>
      </c>
      <c r="K41" s="5">
        <v>6.75</v>
      </c>
      <c r="L41" s="5">
        <v>0.25</v>
      </c>
      <c r="M41" s="5">
        <v>0.5</v>
      </c>
      <c r="N41" s="5">
        <f t="shared" si="8"/>
        <v>0.375</v>
      </c>
      <c r="O41" s="5">
        <f t="shared" si="9"/>
        <v>6.375</v>
      </c>
      <c r="P41" s="3">
        <f>IF(COUNTIFS(rating_events!$B$2:$B$13,C41,rating_events!$D$2:$D$13,"rating_upgrade")&gt;0,1,0)</f>
        <v>0</v>
      </c>
      <c r="Q41" s="3">
        <f>IF(COUNTIFS(rating_events!$B$2:$B$13,C41,rating_events!$D$2:$D$13,"rating_downgrade")&gt;0,1,0)</f>
        <v>0</v>
      </c>
      <c r="R41" s="3">
        <f>IF(COUNTIFS(rating_events!$B$2:$B$13,C41,rating_events!$D$2:$D$13,"outlook_improvement")&gt;0,1,0)</f>
        <v>0</v>
      </c>
      <c r="S41" s="3">
        <f>IF(COUNTIFS(rating_events!$B$2:$B$13,C41,rating_events!$D$2:$D$13,"outlook_deterioration")&gt;0,1,0)</f>
        <v>0</v>
      </c>
      <c r="T41" s="5">
        <v>11.6897</v>
      </c>
      <c r="U41" s="5">
        <v>10.813600000000001</v>
      </c>
      <c r="V41" s="3">
        <v>0</v>
      </c>
      <c r="W41" s="3">
        <v>0</v>
      </c>
      <c r="X41" s="3">
        <f t="shared" si="10"/>
        <v>1</v>
      </c>
      <c r="Y41" s="3">
        <f t="shared" si="11"/>
        <v>1</v>
      </c>
    </row>
    <row r="42" spans="1:25" ht="18" customHeight="1">
      <c r="A42" s="3">
        <v>2016</v>
      </c>
      <c r="B42" s="3">
        <v>5</v>
      </c>
      <c r="C42" s="3">
        <f t="shared" si="6"/>
        <v>676</v>
      </c>
      <c r="D42" s="4">
        <v>13658</v>
      </c>
      <c r="E42" s="5">
        <f t="shared" si="7"/>
        <v>0.37669999999999959</v>
      </c>
      <c r="F42" s="5">
        <f>IF(COUNT(flow_components!C42:E42)=3,SUM(flow_components!C42:E42),"")</f>
        <v>-6.0443877439999989</v>
      </c>
      <c r="G42" s="5">
        <v>97.278899999999993</v>
      </c>
      <c r="H42" s="5">
        <v>95.891000000000005</v>
      </c>
      <c r="I42" s="5">
        <v>1.8458000000000001</v>
      </c>
      <c r="J42" s="5">
        <v>14.19</v>
      </c>
      <c r="K42" s="5">
        <v>6.75</v>
      </c>
      <c r="L42" s="5">
        <v>0.25</v>
      </c>
      <c r="M42" s="5">
        <v>0.5</v>
      </c>
      <c r="N42" s="5">
        <f t="shared" si="8"/>
        <v>0.375</v>
      </c>
      <c r="O42" s="5">
        <f t="shared" si="9"/>
        <v>6.375</v>
      </c>
      <c r="P42" s="3">
        <f>IF(COUNTIFS(rating_events!$B$2:$B$13,C42,rating_events!$D$2:$D$13,"rating_upgrade")&gt;0,1,0)</f>
        <v>0</v>
      </c>
      <c r="Q42" s="3">
        <f>IF(COUNTIFS(rating_events!$B$2:$B$13,C42,rating_events!$D$2:$D$13,"rating_downgrade")&gt;0,1,0)</f>
        <v>0</v>
      </c>
      <c r="R42" s="3">
        <f>IF(COUNTIFS(rating_events!$B$2:$B$13,C42,rating_events!$D$2:$D$13,"outlook_improvement")&gt;0,1,0)</f>
        <v>0</v>
      </c>
      <c r="S42" s="3">
        <f>IF(COUNTIFS(rating_events!$B$2:$B$13,C42,rating_events!$D$2:$D$13,"outlook_deterioration")&gt;0,1,0)</f>
        <v>0</v>
      </c>
      <c r="T42" s="5">
        <v>11.5174</v>
      </c>
      <c r="U42" s="5">
        <v>11.140700000000001</v>
      </c>
      <c r="V42" s="3">
        <v>0</v>
      </c>
      <c r="W42" s="3">
        <v>0</v>
      </c>
      <c r="X42" s="3">
        <f t="shared" si="10"/>
        <v>1</v>
      </c>
      <c r="Y42" s="3">
        <f t="shared" si="11"/>
        <v>1</v>
      </c>
    </row>
    <row r="43" spans="1:25" ht="18" customHeight="1">
      <c r="A43" s="3">
        <v>2016</v>
      </c>
      <c r="B43" s="3">
        <v>6</v>
      </c>
      <c r="C43" s="3">
        <f t="shared" si="6"/>
        <v>677</v>
      </c>
      <c r="D43" s="4">
        <v>13220</v>
      </c>
      <c r="E43" s="5">
        <f t="shared" si="7"/>
        <v>1.1109000000000009</v>
      </c>
      <c r="F43" s="5">
        <f>IF(COUNT(flow_components!C43:E43)=3,SUM(flow_components!C43:E43),"")</f>
        <v>30.835038459000003</v>
      </c>
      <c r="G43" s="5">
        <v>103.23077000000001</v>
      </c>
      <c r="H43" s="5">
        <v>96.143000000000001</v>
      </c>
      <c r="I43" s="5">
        <v>1.4697</v>
      </c>
      <c r="J43" s="5">
        <v>15.63</v>
      </c>
      <c r="K43" s="5">
        <v>6.5</v>
      </c>
      <c r="L43" s="5">
        <v>0.25</v>
      </c>
      <c r="M43" s="5">
        <v>0.5</v>
      </c>
      <c r="N43" s="5">
        <f t="shared" si="8"/>
        <v>0.375</v>
      </c>
      <c r="O43" s="5">
        <f t="shared" si="9"/>
        <v>6.125</v>
      </c>
      <c r="P43" s="3">
        <f>IF(COUNTIFS(rating_events!$B$2:$B$13,C43,rating_events!$D$2:$D$13,"rating_upgrade")&gt;0,1,0)</f>
        <v>0</v>
      </c>
      <c r="Q43" s="3">
        <f>IF(COUNTIFS(rating_events!$B$2:$B$13,C43,rating_events!$D$2:$D$13,"rating_downgrade")&gt;0,1,0)</f>
        <v>0</v>
      </c>
      <c r="R43" s="3">
        <f>IF(COUNTIFS(rating_events!$B$2:$B$13,C43,rating_events!$D$2:$D$13,"outlook_improvement")&gt;0,1,0)</f>
        <v>0</v>
      </c>
      <c r="S43" s="3">
        <f>IF(COUNTIFS(rating_events!$B$2:$B$13,C43,rating_events!$D$2:$D$13,"outlook_deterioration")&gt;0,1,0)</f>
        <v>0</v>
      </c>
      <c r="T43" s="5">
        <v>13.206100000000001</v>
      </c>
      <c r="U43" s="5">
        <v>12.0952</v>
      </c>
      <c r="V43" s="3">
        <v>0</v>
      </c>
      <c r="W43" s="3">
        <v>0</v>
      </c>
      <c r="X43" s="3">
        <f t="shared" si="10"/>
        <v>1</v>
      </c>
      <c r="Y43" s="3">
        <f t="shared" si="11"/>
        <v>1</v>
      </c>
    </row>
    <row r="44" spans="1:25" ht="18" customHeight="1">
      <c r="A44" s="3">
        <v>2016</v>
      </c>
      <c r="B44" s="3">
        <v>7</v>
      </c>
      <c r="C44" s="3">
        <f t="shared" si="6"/>
        <v>678</v>
      </c>
      <c r="D44" s="4">
        <v>13099</v>
      </c>
      <c r="E44" s="5">
        <f t="shared" si="7"/>
        <v>0.63229999999999897</v>
      </c>
      <c r="F44" s="5">
        <f>IF(COUNT(flow_components!C44:E44)=3,SUM(flow_components!C44:E44),"")</f>
        <v>26.956422554</v>
      </c>
      <c r="G44" s="5">
        <v>104.81050999999999</v>
      </c>
      <c r="H44" s="5">
        <v>95.53</v>
      </c>
      <c r="I44" s="5">
        <v>1.4531000000000001</v>
      </c>
      <c r="J44" s="5">
        <v>11.87</v>
      </c>
      <c r="K44" s="5">
        <v>6.5</v>
      </c>
      <c r="L44" s="5">
        <v>0.25</v>
      </c>
      <c r="M44" s="5">
        <v>0.5</v>
      </c>
      <c r="N44" s="5">
        <f t="shared" si="8"/>
        <v>0.375</v>
      </c>
      <c r="O44" s="5">
        <f t="shared" si="9"/>
        <v>6.125</v>
      </c>
      <c r="P44" s="3">
        <f>IF(COUNTIFS(rating_events!$B$2:$B$13,C44,rating_events!$D$2:$D$13,"rating_upgrade")&gt;0,1,0)</f>
        <v>0</v>
      </c>
      <c r="Q44" s="3">
        <f>IF(COUNTIFS(rating_events!$B$2:$B$13,C44,rating_events!$D$2:$D$13,"rating_downgrade")&gt;0,1,0)</f>
        <v>0</v>
      </c>
      <c r="R44" s="3">
        <f>IF(COUNTIFS(rating_events!$B$2:$B$13,C44,rating_events!$D$2:$D$13,"outlook_improvement")&gt;0,1,0)</f>
        <v>0</v>
      </c>
      <c r="S44" s="3">
        <f>IF(COUNTIFS(rating_events!$B$2:$B$13,C44,rating_events!$D$2:$D$13,"outlook_deterioration")&gt;0,1,0)</f>
        <v>0</v>
      </c>
      <c r="T44" s="5">
        <v>9.6494999999999997</v>
      </c>
      <c r="U44" s="5">
        <v>9.0172000000000008</v>
      </c>
      <c r="V44" s="3">
        <v>0</v>
      </c>
      <c r="W44" s="3">
        <v>0</v>
      </c>
      <c r="X44" s="3">
        <f t="shared" si="10"/>
        <v>1</v>
      </c>
      <c r="Y44" s="3">
        <f t="shared" si="11"/>
        <v>1</v>
      </c>
    </row>
    <row r="45" spans="1:25" ht="18" customHeight="1">
      <c r="A45" s="3">
        <v>2016</v>
      </c>
      <c r="B45" s="3">
        <v>8</v>
      </c>
      <c r="C45" s="3">
        <f t="shared" si="6"/>
        <v>679</v>
      </c>
      <c r="D45" s="4">
        <v>13265</v>
      </c>
      <c r="E45" s="5">
        <f t="shared" si="7"/>
        <v>0.31649999999999956</v>
      </c>
      <c r="F45" s="5">
        <f>IF(COUNT(flow_components!C45:E45)=3,SUM(flow_components!C45:E45),"")</f>
        <v>20.772277699</v>
      </c>
      <c r="G45" s="5">
        <v>106.98788999999999</v>
      </c>
      <c r="H45" s="5">
        <v>96.022000000000006</v>
      </c>
      <c r="I45" s="5">
        <v>1.58</v>
      </c>
      <c r="J45" s="5">
        <v>13.42</v>
      </c>
      <c r="K45" s="5">
        <v>5.25</v>
      </c>
      <c r="L45" s="5">
        <v>0.25</v>
      </c>
      <c r="M45" s="5">
        <v>0.5</v>
      </c>
      <c r="N45" s="5">
        <f t="shared" si="8"/>
        <v>0.375</v>
      </c>
      <c r="O45" s="5">
        <f t="shared" si="9"/>
        <v>4.875</v>
      </c>
      <c r="P45" s="3">
        <f>IF(COUNTIFS(rating_events!$B$2:$B$13,C45,rating_events!$D$2:$D$13,"rating_upgrade")&gt;0,1,0)</f>
        <v>0</v>
      </c>
      <c r="Q45" s="3">
        <f>IF(COUNTIFS(rating_events!$B$2:$B$13,C45,rating_events!$D$2:$D$13,"rating_downgrade")&gt;0,1,0)</f>
        <v>0</v>
      </c>
      <c r="R45" s="3">
        <f>IF(COUNTIFS(rating_events!$B$2:$B$13,C45,rating_events!$D$2:$D$13,"outlook_improvement")&gt;0,1,0)</f>
        <v>0</v>
      </c>
      <c r="S45" s="3">
        <f>IF(COUNTIFS(rating_events!$B$2:$B$13,C45,rating_events!$D$2:$D$13,"outlook_deterioration")&gt;0,1,0)</f>
        <v>0</v>
      </c>
      <c r="T45" s="5">
        <v>12.701700000000001</v>
      </c>
      <c r="U45" s="5">
        <v>12.385200000000001</v>
      </c>
      <c r="V45" s="3">
        <v>1</v>
      </c>
      <c r="W45" s="3">
        <v>0</v>
      </c>
      <c r="X45" s="3">
        <f t="shared" si="10"/>
        <v>1</v>
      </c>
      <c r="Y45" s="3">
        <f t="shared" si="11"/>
        <v>1</v>
      </c>
    </row>
    <row r="46" spans="1:25" ht="18" customHeight="1">
      <c r="A46" s="3">
        <v>2016</v>
      </c>
      <c r="B46" s="3">
        <v>9</v>
      </c>
      <c r="C46" s="3">
        <f t="shared" si="6"/>
        <v>680</v>
      </c>
      <c r="D46" s="4">
        <v>13051</v>
      </c>
      <c r="E46" s="5">
        <f t="shared" si="7"/>
        <v>1.2822999999999993</v>
      </c>
      <c r="F46" s="5">
        <f>IF(COUNT(flow_components!C46:E46)=3,SUM(flow_components!C46:E46),"")</f>
        <v>12.296411016</v>
      </c>
      <c r="G46" s="5">
        <v>109.11647000000001</v>
      </c>
      <c r="H46" s="5">
        <v>95.462999999999994</v>
      </c>
      <c r="I46" s="5">
        <v>1.5944</v>
      </c>
      <c r="J46" s="5">
        <v>13.29</v>
      </c>
      <c r="K46" s="5">
        <v>5</v>
      </c>
      <c r="L46" s="5">
        <v>0.25</v>
      </c>
      <c r="M46" s="5">
        <v>0.5</v>
      </c>
      <c r="N46" s="5">
        <f t="shared" si="8"/>
        <v>0.375</v>
      </c>
      <c r="O46" s="5">
        <f t="shared" si="9"/>
        <v>4.625</v>
      </c>
      <c r="P46" s="3">
        <f>IF(COUNTIFS(rating_events!$B$2:$B$13,C46,rating_events!$D$2:$D$13,"rating_upgrade")&gt;0,1,0)</f>
        <v>0</v>
      </c>
      <c r="Q46" s="3">
        <f>IF(COUNTIFS(rating_events!$B$2:$B$13,C46,rating_events!$D$2:$D$13,"rating_downgrade")&gt;0,1,0)</f>
        <v>0</v>
      </c>
      <c r="R46" s="3">
        <f>IF(COUNTIFS(rating_events!$B$2:$B$13,C46,rating_events!$D$2:$D$13,"outlook_improvement")&gt;0,1,0)</f>
        <v>0</v>
      </c>
      <c r="S46" s="3">
        <f>IF(COUNTIFS(rating_events!$B$2:$B$13,C46,rating_events!$D$2:$D$13,"outlook_deterioration")&gt;0,1,0)</f>
        <v>0</v>
      </c>
      <c r="T46" s="5">
        <v>12.579799999999999</v>
      </c>
      <c r="U46" s="5">
        <v>11.297499999999999</v>
      </c>
      <c r="V46" s="3">
        <v>1</v>
      </c>
      <c r="W46" s="3">
        <v>0</v>
      </c>
      <c r="X46" s="3">
        <f t="shared" si="10"/>
        <v>1</v>
      </c>
      <c r="Y46" s="3">
        <f t="shared" si="11"/>
        <v>1</v>
      </c>
    </row>
    <row r="47" spans="1:25" ht="18" customHeight="1">
      <c r="A47" s="3">
        <v>2016</v>
      </c>
      <c r="B47" s="3">
        <v>10</v>
      </c>
      <c r="C47" s="3">
        <f t="shared" si="6"/>
        <v>681</v>
      </c>
      <c r="D47" s="4">
        <v>13048</v>
      </c>
      <c r="E47" s="5">
        <f t="shared" si="7"/>
        <v>1.2364999999999995</v>
      </c>
      <c r="F47" s="5">
        <f>IF(COUNT(flow_components!C47:E47)=3,SUM(flow_components!C47:E47),"")</f>
        <v>-11.631395292000001</v>
      </c>
      <c r="G47" s="5">
        <v>108.64689</v>
      </c>
      <c r="H47" s="5">
        <v>98.444999999999993</v>
      </c>
      <c r="I47" s="5">
        <v>1.8254999999999999</v>
      </c>
      <c r="J47" s="5">
        <v>17.059999999999999</v>
      </c>
      <c r="K47" s="5">
        <v>4.75</v>
      </c>
      <c r="L47" s="5">
        <v>0.25</v>
      </c>
      <c r="M47" s="5">
        <v>0.5</v>
      </c>
      <c r="N47" s="5">
        <f t="shared" si="8"/>
        <v>0.375</v>
      </c>
      <c r="O47" s="5">
        <f t="shared" si="9"/>
        <v>4.375</v>
      </c>
      <c r="P47" s="3">
        <f>IF(COUNTIFS(rating_events!$B$2:$B$13,C47,rating_events!$D$2:$D$13,"rating_upgrade")&gt;0,1,0)</f>
        <v>0</v>
      </c>
      <c r="Q47" s="3">
        <f>IF(COUNTIFS(rating_events!$B$2:$B$13,C47,rating_events!$D$2:$D$13,"rating_downgrade")&gt;0,1,0)</f>
        <v>0</v>
      </c>
      <c r="R47" s="3">
        <f>IF(COUNTIFS(rating_events!$B$2:$B$13,C47,rating_events!$D$2:$D$13,"outlook_improvement")&gt;0,1,0)</f>
        <v>0</v>
      </c>
      <c r="S47" s="3">
        <f>IF(COUNTIFS(rating_events!$B$2:$B$13,C47,rating_events!$D$2:$D$13,"outlook_deterioration")&gt;0,1,0)</f>
        <v>0</v>
      </c>
      <c r="T47" s="5">
        <v>12.7437</v>
      </c>
      <c r="U47" s="5">
        <v>11.507200000000001</v>
      </c>
      <c r="V47" s="3">
        <v>1</v>
      </c>
      <c r="W47" s="3">
        <v>0</v>
      </c>
      <c r="X47" s="3">
        <f t="shared" si="10"/>
        <v>1</v>
      </c>
      <c r="Y47" s="3">
        <f t="shared" si="11"/>
        <v>1</v>
      </c>
    </row>
    <row r="48" spans="1:25" ht="18" customHeight="1">
      <c r="A48" s="3">
        <v>2016</v>
      </c>
      <c r="B48" s="3">
        <v>11</v>
      </c>
      <c r="C48" s="3">
        <f t="shared" si="6"/>
        <v>682</v>
      </c>
      <c r="D48" s="4">
        <v>13553</v>
      </c>
      <c r="E48" s="5">
        <f t="shared" si="7"/>
        <v>0.8335000000000008</v>
      </c>
      <c r="F48" s="5">
        <f>IF(COUNT(flow_components!C48:E48)=3,SUM(flow_components!C48:E48),"")</f>
        <v>-31.938846459999997</v>
      </c>
      <c r="G48" s="5">
        <v>105.32055</v>
      </c>
      <c r="H48" s="5">
        <v>101.5</v>
      </c>
      <c r="I48" s="5">
        <v>2.3809</v>
      </c>
      <c r="J48" s="5">
        <v>13.33</v>
      </c>
      <c r="K48" s="5">
        <v>4.75</v>
      </c>
      <c r="L48" s="5">
        <v>0.25</v>
      </c>
      <c r="M48" s="5">
        <v>0.5</v>
      </c>
      <c r="N48" s="5">
        <f t="shared" si="8"/>
        <v>0.375</v>
      </c>
      <c r="O48" s="5">
        <f t="shared" si="9"/>
        <v>4.375</v>
      </c>
      <c r="P48" s="3">
        <f>IF(COUNTIFS(rating_events!$B$2:$B$13,C48,rating_events!$D$2:$D$13,"rating_upgrade")&gt;0,1,0)</f>
        <v>0</v>
      </c>
      <c r="Q48" s="3">
        <f>IF(COUNTIFS(rating_events!$B$2:$B$13,C48,rating_events!$D$2:$D$13,"rating_downgrade")&gt;0,1,0)</f>
        <v>0</v>
      </c>
      <c r="R48" s="3">
        <f>IF(COUNTIFS(rating_events!$B$2:$B$13,C48,rating_events!$D$2:$D$13,"outlook_improvement")&gt;0,1,0)</f>
        <v>0</v>
      </c>
      <c r="S48" s="3">
        <f>IF(COUNTIFS(rating_events!$B$2:$B$13,C48,rating_events!$D$2:$D$13,"outlook_deterioration")&gt;0,1,0)</f>
        <v>0</v>
      </c>
      <c r="T48" s="5">
        <v>13.5029</v>
      </c>
      <c r="U48" s="5">
        <v>12.6694</v>
      </c>
      <c r="V48" s="3">
        <v>1</v>
      </c>
      <c r="W48" s="3">
        <v>0</v>
      </c>
      <c r="X48" s="3">
        <f t="shared" si="10"/>
        <v>1</v>
      </c>
      <c r="Y48" s="3">
        <f t="shared" si="11"/>
        <v>1</v>
      </c>
    </row>
    <row r="49" spans="1:25" ht="18" customHeight="1">
      <c r="A49" s="3">
        <v>2016</v>
      </c>
      <c r="B49" s="3">
        <v>12</v>
      </c>
      <c r="C49" s="3">
        <f t="shared" si="6"/>
        <v>683</v>
      </c>
      <c r="D49" s="4">
        <v>13473</v>
      </c>
      <c r="E49" s="5">
        <f t="shared" si="7"/>
        <v>1.0498999999999992</v>
      </c>
      <c r="F49" s="5">
        <f>IF(COUNT(flow_components!C49:E49)=3,SUM(flow_components!C49:E49),"")</f>
        <v>6.4078432129999996</v>
      </c>
      <c r="G49" s="5">
        <v>110.34094</v>
      </c>
      <c r="H49" s="5">
        <v>102.21</v>
      </c>
      <c r="I49" s="5">
        <v>2.4443000000000001</v>
      </c>
      <c r="J49" s="5">
        <v>14.04</v>
      </c>
      <c r="K49" s="5">
        <v>4.75</v>
      </c>
      <c r="L49" s="5">
        <v>0.5</v>
      </c>
      <c r="M49" s="5">
        <v>0.75</v>
      </c>
      <c r="N49" s="5">
        <f t="shared" si="8"/>
        <v>0.625</v>
      </c>
      <c r="O49" s="5">
        <f t="shared" si="9"/>
        <v>4.125</v>
      </c>
      <c r="P49" s="3">
        <f>IF(COUNTIFS(rating_events!$B$2:$B$13,C49,rating_events!$D$2:$D$13,"rating_upgrade")&gt;0,1,0)</f>
        <v>0</v>
      </c>
      <c r="Q49" s="3">
        <f>IF(COUNTIFS(rating_events!$B$2:$B$13,C49,rating_events!$D$2:$D$13,"rating_downgrade")&gt;0,1,0)</f>
        <v>0</v>
      </c>
      <c r="R49" s="3">
        <f>IF(COUNTIFS(rating_events!$B$2:$B$13,C49,rating_events!$D$2:$D$13,"outlook_improvement")&gt;0,1,0)</f>
        <v>1</v>
      </c>
      <c r="S49" s="3">
        <f>IF(COUNTIFS(rating_events!$B$2:$B$13,C49,rating_events!$D$2:$D$13,"outlook_deterioration")&gt;0,1,0)</f>
        <v>0</v>
      </c>
      <c r="T49" s="5">
        <v>13.8324</v>
      </c>
      <c r="U49" s="5">
        <v>12.782500000000001</v>
      </c>
      <c r="V49" s="3">
        <v>1</v>
      </c>
      <c r="W49" s="3">
        <v>0</v>
      </c>
      <c r="X49" s="3">
        <f t="shared" si="10"/>
        <v>1</v>
      </c>
      <c r="Y49" s="3">
        <f t="shared" si="11"/>
        <v>1</v>
      </c>
    </row>
    <row r="50" spans="1:25" ht="18" customHeight="1">
      <c r="A50" s="3">
        <v>2017</v>
      </c>
      <c r="B50" s="3">
        <v>1</v>
      </c>
      <c r="C50" s="3">
        <f t="shared" si="6"/>
        <v>684</v>
      </c>
      <c r="D50" s="4">
        <v>13352</v>
      </c>
      <c r="E50" s="5">
        <f t="shared" si="7"/>
        <v>1.4239000000000015</v>
      </c>
      <c r="F50" s="5">
        <f>IF(COUNT(flow_components!C50:E50)=3,SUM(flow_components!C50:E50),"")</f>
        <v>18.933540869999998</v>
      </c>
      <c r="G50" s="5">
        <v>110.76215999999999</v>
      </c>
      <c r="H50" s="5">
        <v>99.512</v>
      </c>
      <c r="I50" s="5">
        <v>2.4531000000000001</v>
      </c>
      <c r="J50" s="5">
        <v>11.99</v>
      </c>
      <c r="K50" s="5">
        <v>4.75</v>
      </c>
      <c r="L50" s="5">
        <v>0.5</v>
      </c>
      <c r="M50" s="5">
        <v>0.75</v>
      </c>
      <c r="N50" s="5">
        <f t="shared" si="8"/>
        <v>0.625</v>
      </c>
      <c r="O50" s="5">
        <f t="shared" si="9"/>
        <v>4.125</v>
      </c>
      <c r="P50" s="3">
        <f>IF(COUNTIFS(rating_events!$B$2:$B$13,C50,rating_events!$D$2:$D$13,"rating_upgrade")&gt;0,1,0)</f>
        <v>0</v>
      </c>
      <c r="Q50" s="3">
        <f>IF(COUNTIFS(rating_events!$B$2:$B$13,C50,rating_events!$D$2:$D$13,"rating_downgrade")&gt;0,1,0)</f>
        <v>0</v>
      </c>
      <c r="R50" s="3">
        <f>IF(COUNTIFS(rating_events!$B$2:$B$13,C50,rating_events!$D$2:$D$13,"outlook_improvement")&gt;0,1,0)</f>
        <v>0</v>
      </c>
      <c r="S50" s="3">
        <f>IF(COUNTIFS(rating_events!$B$2:$B$13,C50,rating_events!$D$2:$D$13,"outlook_deterioration")&gt;0,1,0)</f>
        <v>0</v>
      </c>
      <c r="T50" s="5">
        <v>13.3977</v>
      </c>
      <c r="U50" s="5">
        <v>11.973799999999999</v>
      </c>
      <c r="V50" s="3">
        <v>1</v>
      </c>
      <c r="W50" s="3">
        <v>0</v>
      </c>
      <c r="X50" s="3">
        <f t="shared" si="10"/>
        <v>1</v>
      </c>
      <c r="Y50" s="3">
        <f t="shared" si="11"/>
        <v>1</v>
      </c>
    </row>
    <row r="51" spans="1:25" ht="18" customHeight="1">
      <c r="A51" s="3">
        <v>2017</v>
      </c>
      <c r="B51" s="3">
        <v>2</v>
      </c>
      <c r="C51" s="3">
        <f t="shared" si="6"/>
        <v>685</v>
      </c>
      <c r="D51" s="4">
        <v>13336</v>
      </c>
      <c r="E51" s="5">
        <f t="shared" si="7"/>
        <v>1.2566000000000006</v>
      </c>
      <c r="F51" s="5">
        <f>IF(COUNT(flow_components!C51:E51)=3,SUM(flow_components!C51:E51),"")</f>
        <v>5.5851576629999995</v>
      </c>
      <c r="G51" s="5">
        <v>113.58445</v>
      </c>
      <c r="H51" s="5">
        <v>101.12</v>
      </c>
      <c r="I51" s="5">
        <v>2.3898999999999999</v>
      </c>
      <c r="J51" s="5">
        <v>12.92</v>
      </c>
      <c r="K51" s="5">
        <v>4.75</v>
      </c>
      <c r="L51" s="5">
        <v>0.5</v>
      </c>
      <c r="M51" s="5">
        <v>0.75</v>
      </c>
      <c r="N51" s="5">
        <f t="shared" si="8"/>
        <v>0.625</v>
      </c>
      <c r="O51" s="5">
        <f t="shared" si="9"/>
        <v>4.125</v>
      </c>
      <c r="P51" s="3">
        <f>IF(COUNTIFS(rating_events!$B$2:$B$13,C51,rating_events!$D$2:$D$13,"rating_upgrade")&gt;0,1,0)</f>
        <v>0</v>
      </c>
      <c r="Q51" s="3">
        <f>IF(COUNTIFS(rating_events!$B$2:$B$13,C51,rating_events!$D$2:$D$13,"rating_downgrade")&gt;0,1,0)</f>
        <v>0</v>
      </c>
      <c r="R51" s="3">
        <f>IF(COUNTIFS(rating_events!$B$2:$B$13,C51,rating_events!$D$2:$D$13,"outlook_improvement")&gt;0,1,0)</f>
        <v>1</v>
      </c>
      <c r="S51" s="3">
        <f>IF(COUNTIFS(rating_events!$B$2:$B$13,C51,rating_events!$D$2:$D$13,"outlook_deterioration")&gt;0,1,0)</f>
        <v>0</v>
      </c>
      <c r="T51" s="5">
        <v>12.616</v>
      </c>
      <c r="U51" s="5">
        <v>11.359399999999999</v>
      </c>
      <c r="V51" s="3">
        <v>1</v>
      </c>
      <c r="W51" s="3">
        <v>0</v>
      </c>
      <c r="X51" s="3">
        <f t="shared" si="10"/>
        <v>1</v>
      </c>
      <c r="Y51" s="3">
        <f t="shared" si="11"/>
        <v>1</v>
      </c>
    </row>
    <row r="52" spans="1:25" ht="18" customHeight="1">
      <c r="A52" s="3">
        <v>2017</v>
      </c>
      <c r="B52" s="3">
        <v>3</v>
      </c>
      <c r="C52" s="3">
        <f t="shared" si="6"/>
        <v>686</v>
      </c>
      <c r="D52" s="4">
        <v>13326</v>
      </c>
      <c r="E52" s="5">
        <f t="shared" si="7"/>
        <v>1.4352999999999998</v>
      </c>
      <c r="F52" s="5">
        <f>IF(COUNT(flow_components!C52:E52)=3,SUM(flow_components!C52:E52),"")</f>
        <v>41.200374027999999</v>
      </c>
      <c r="G52" s="5">
        <v>115.53443</v>
      </c>
      <c r="H52" s="5">
        <v>100.35</v>
      </c>
      <c r="I52" s="5">
        <v>2.3874</v>
      </c>
      <c r="J52" s="5">
        <v>12.37</v>
      </c>
      <c r="K52" s="5">
        <v>4.75</v>
      </c>
      <c r="L52" s="5">
        <v>0.75</v>
      </c>
      <c r="M52" s="5">
        <v>1</v>
      </c>
      <c r="N52" s="5">
        <f t="shared" si="8"/>
        <v>0.875</v>
      </c>
      <c r="O52" s="5">
        <f t="shared" si="9"/>
        <v>3.875</v>
      </c>
      <c r="P52" s="3">
        <f>IF(COUNTIFS(rating_events!$B$2:$B$13,C52,rating_events!$D$2:$D$13,"rating_upgrade")&gt;0,1,0)</f>
        <v>0</v>
      </c>
      <c r="Q52" s="3">
        <f>IF(COUNTIFS(rating_events!$B$2:$B$13,C52,rating_events!$D$2:$D$13,"rating_downgrade")&gt;0,1,0)</f>
        <v>0</v>
      </c>
      <c r="R52" s="3">
        <f>IF(COUNTIFS(rating_events!$B$2:$B$13,C52,rating_events!$D$2:$D$13,"outlook_improvement")&gt;0,1,0)</f>
        <v>0</v>
      </c>
      <c r="S52" s="3">
        <f>IF(COUNTIFS(rating_events!$B$2:$B$13,C52,rating_events!$D$2:$D$13,"outlook_deterioration")&gt;0,1,0)</f>
        <v>0</v>
      </c>
      <c r="T52" s="5">
        <v>14.718500000000001</v>
      </c>
      <c r="U52" s="5">
        <v>13.283200000000001</v>
      </c>
      <c r="V52" s="3">
        <v>1</v>
      </c>
      <c r="W52" s="3">
        <v>0</v>
      </c>
      <c r="X52" s="3">
        <f t="shared" si="10"/>
        <v>1</v>
      </c>
      <c r="Y52" s="3">
        <f t="shared" si="11"/>
        <v>1</v>
      </c>
    </row>
    <row r="53" spans="1:25" ht="18" customHeight="1">
      <c r="A53" s="3">
        <v>2017</v>
      </c>
      <c r="B53" s="3">
        <v>4</v>
      </c>
      <c r="C53" s="3">
        <f t="shared" si="6"/>
        <v>687</v>
      </c>
      <c r="D53" s="4">
        <v>13329</v>
      </c>
      <c r="E53" s="5">
        <f t="shared" si="7"/>
        <v>1.3191000000000006</v>
      </c>
      <c r="F53" s="5">
        <f>IF(COUNT(flow_components!C53:E53)=3,SUM(flow_components!C53:E53),"")</f>
        <v>37.490306265000001</v>
      </c>
      <c r="G53" s="5">
        <v>116.90891999999999</v>
      </c>
      <c r="H53" s="5">
        <v>99.05</v>
      </c>
      <c r="I53" s="5">
        <v>2.2801999999999998</v>
      </c>
      <c r="J53" s="5">
        <v>10.82</v>
      </c>
      <c r="K53" s="5">
        <v>4.75</v>
      </c>
      <c r="L53" s="5">
        <v>0.75</v>
      </c>
      <c r="M53" s="5">
        <v>1</v>
      </c>
      <c r="N53" s="5">
        <f t="shared" si="8"/>
        <v>0.875</v>
      </c>
      <c r="O53" s="5">
        <f t="shared" si="9"/>
        <v>3.875</v>
      </c>
      <c r="P53" s="3">
        <f>IF(COUNTIFS(rating_events!$B$2:$B$13,C53,rating_events!$D$2:$D$13,"rating_upgrade")&gt;0,1,0)</f>
        <v>0</v>
      </c>
      <c r="Q53" s="3">
        <f>IF(COUNTIFS(rating_events!$B$2:$B$13,C53,rating_events!$D$2:$D$13,"rating_downgrade")&gt;0,1,0)</f>
        <v>0</v>
      </c>
      <c r="R53" s="3">
        <f>IF(COUNTIFS(rating_events!$B$2:$B$13,C53,rating_events!$D$2:$D$13,"outlook_improvement")&gt;0,1,0)</f>
        <v>0</v>
      </c>
      <c r="S53" s="3">
        <f>IF(COUNTIFS(rating_events!$B$2:$B$13,C53,rating_events!$D$2:$D$13,"outlook_deterioration")&gt;0,1,0)</f>
        <v>0</v>
      </c>
      <c r="T53" s="5">
        <v>13.2697</v>
      </c>
      <c r="U53" s="5">
        <v>11.9506</v>
      </c>
      <c r="V53" s="3">
        <v>1</v>
      </c>
      <c r="W53" s="3">
        <v>0</v>
      </c>
      <c r="X53" s="3">
        <f t="shared" si="10"/>
        <v>1</v>
      </c>
      <c r="Y53" s="3">
        <f t="shared" si="11"/>
        <v>1</v>
      </c>
    </row>
    <row r="54" spans="1:25" ht="18" customHeight="1">
      <c r="A54" s="3">
        <v>2017</v>
      </c>
      <c r="B54" s="3">
        <v>5</v>
      </c>
      <c r="C54" s="3">
        <f t="shared" si="6"/>
        <v>688</v>
      </c>
      <c r="D54" s="4">
        <v>13323</v>
      </c>
      <c r="E54" s="5">
        <f t="shared" si="7"/>
        <v>0.56139999999999901</v>
      </c>
      <c r="F54" s="5">
        <f>IF(COUNT(flow_components!C54:E54)=3,SUM(flow_components!C54:E54),"")</f>
        <v>7.8555474060000003</v>
      </c>
      <c r="G54" s="5">
        <v>118.53702</v>
      </c>
      <c r="H54" s="5">
        <v>96.921999999999997</v>
      </c>
      <c r="I54" s="5">
        <v>2.2027999999999999</v>
      </c>
      <c r="J54" s="5">
        <v>10.41</v>
      </c>
      <c r="K54" s="5">
        <v>4.75</v>
      </c>
      <c r="L54" s="5">
        <v>0.75</v>
      </c>
      <c r="M54" s="5">
        <v>1</v>
      </c>
      <c r="N54" s="5">
        <f t="shared" si="8"/>
        <v>0.875</v>
      </c>
      <c r="O54" s="5">
        <f t="shared" si="9"/>
        <v>3.875</v>
      </c>
      <c r="P54" s="3">
        <f>IF(COUNTIFS(rating_events!$B$2:$B$13,C54,rating_events!$D$2:$D$13,"rating_upgrade")&gt;0,1,0)</f>
        <v>1</v>
      </c>
      <c r="Q54" s="3">
        <f>IF(COUNTIFS(rating_events!$B$2:$B$13,C54,rating_events!$D$2:$D$13,"rating_downgrade")&gt;0,1,0)</f>
        <v>0</v>
      </c>
      <c r="R54" s="3">
        <f>IF(COUNTIFS(rating_events!$B$2:$B$13,C54,rating_events!$D$2:$D$13,"outlook_improvement")&gt;0,1,0)</f>
        <v>0</v>
      </c>
      <c r="S54" s="3">
        <f>IF(COUNTIFS(rating_events!$B$2:$B$13,C54,rating_events!$D$2:$D$13,"outlook_deterioration")&gt;0,1,0)</f>
        <v>0</v>
      </c>
      <c r="T54" s="5">
        <v>14.3339</v>
      </c>
      <c r="U54" s="5">
        <v>13.772500000000001</v>
      </c>
      <c r="V54" s="3">
        <v>1</v>
      </c>
      <c r="W54" s="3">
        <v>0</v>
      </c>
      <c r="X54" s="3">
        <f t="shared" si="10"/>
        <v>1</v>
      </c>
      <c r="Y54" s="3">
        <f t="shared" si="11"/>
        <v>1</v>
      </c>
    </row>
    <row r="55" spans="1:25" ht="18" customHeight="1">
      <c r="A55" s="3">
        <v>2017</v>
      </c>
      <c r="B55" s="3">
        <v>6</v>
      </c>
      <c r="C55" s="3">
        <f t="shared" si="6"/>
        <v>689</v>
      </c>
      <c r="D55" s="4">
        <v>13328</v>
      </c>
      <c r="E55" s="5">
        <f t="shared" si="7"/>
        <v>1.6698000000000004</v>
      </c>
      <c r="F55" s="5">
        <f>IF(COUNT(flow_components!C55:E55)=3,SUM(flow_components!C55:E55),"")</f>
        <v>11.910202668</v>
      </c>
      <c r="G55" s="5">
        <v>116.73269000000001</v>
      </c>
      <c r="H55" s="5">
        <v>95.628</v>
      </c>
      <c r="I55" s="5">
        <v>2.3037000000000001</v>
      </c>
      <c r="J55" s="5">
        <v>11.18</v>
      </c>
      <c r="K55" s="5">
        <v>4.75</v>
      </c>
      <c r="L55" s="5">
        <v>1</v>
      </c>
      <c r="M55" s="5">
        <v>1.25</v>
      </c>
      <c r="N55" s="5">
        <f t="shared" si="8"/>
        <v>1.125</v>
      </c>
      <c r="O55" s="5">
        <f t="shared" si="9"/>
        <v>3.625</v>
      </c>
      <c r="P55" s="3">
        <f>IF(COUNTIFS(rating_events!$B$2:$B$13,C55,rating_events!$D$2:$D$13,"rating_upgrade")&gt;0,1,0)</f>
        <v>0</v>
      </c>
      <c r="Q55" s="3">
        <f>IF(COUNTIFS(rating_events!$B$2:$B$13,C55,rating_events!$D$2:$D$13,"rating_downgrade")&gt;0,1,0)</f>
        <v>0</v>
      </c>
      <c r="R55" s="3">
        <f>IF(COUNTIFS(rating_events!$B$2:$B$13,C55,rating_events!$D$2:$D$13,"outlook_improvement")&gt;0,1,0)</f>
        <v>0</v>
      </c>
      <c r="S55" s="3">
        <f>IF(COUNTIFS(rating_events!$B$2:$B$13,C55,rating_events!$D$2:$D$13,"outlook_deterioration")&gt;0,1,0)</f>
        <v>0</v>
      </c>
      <c r="T55" s="5">
        <v>11.6614</v>
      </c>
      <c r="U55" s="5">
        <v>9.9916</v>
      </c>
      <c r="V55" s="3">
        <v>1</v>
      </c>
      <c r="W55" s="3">
        <v>0</v>
      </c>
      <c r="X55" s="3">
        <f t="shared" si="10"/>
        <v>1</v>
      </c>
      <c r="Y55" s="3">
        <f t="shared" si="11"/>
        <v>1</v>
      </c>
    </row>
    <row r="56" spans="1:25" ht="18" customHeight="1">
      <c r="A56" s="3">
        <v>2017</v>
      </c>
      <c r="B56" s="3">
        <v>7</v>
      </c>
      <c r="C56" s="3">
        <f t="shared" si="6"/>
        <v>690</v>
      </c>
      <c r="D56" s="4">
        <v>13325</v>
      </c>
      <c r="E56" s="5">
        <f t="shared" si="7"/>
        <v>-0.27869999999999884</v>
      </c>
      <c r="F56" s="5">
        <f>IF(COUNT(flow_components!C56:E56)=3,SUM(flow_components!C56:E56),"")</f>
        <v>-5.6501726740000038</v>
      </c>
      <c r="G56" s="5">
        <v>121.23004</v>
      </c>
      <c r="H56" s="5">
        <v>92.863</v>
      </c>
      <c r="I56" s="5">
        <v>2.2942</v>
      </c>
      <c r="J56" s="5">
        <v>10.26</v>
      </c>
      <c r="K56" s="5">
        <v>4.75</v>
      </c>
      <c r="L56" s="5">
        <v>1</v>
      </c>
      <c r="M56" s="5">
        <v>1.25</v>
      </c>
      <c r="N56" s="5">
        <f t="shared" si="8"/>
        <v>1.125</v>
      </c>
      <c r="O56" s="5">
        <f t="shared" si="9"/>
        <v>3.625</v>
      </c>
      <c r="P56" s="3">
        <f>IF(COUNTIFS(rating_events!$B$2:$B$13,C56,rating_events!$D$2:$D$13,"rating_upgrade")&gt;0,1,0)</f>
        <v>0</v>
      </c>
      <c r="Q56" s="3">
        <f>IF(COUNTIFS(rating_events!$B$2:$B$13,C56,rating_events!$D$2:$D$13,"rating_downgrade")&gt;0,1,0)</f>
        <v>0</v>
      </c>
      <c r="R56" s="3">
        <f>IF(COUNTIFS(rating_events!$B$2:$B$13,C56,rating_events!$D$2:$D$13,"outlook_improvement")&gt;0,1,0)</f>
        <v>0</v>
      </c>
      <c r="S56" s="3">
        <f>IF(COUNTIFS(rating_events!$B$2:$B$13,C56,rating_events!$D$2:$D$13,"outlook_deterioration")&gt;0,1,0)</f>
        <v>0</v>
      </c>
      <c r="T56" s="5">
        <v>13.6111</v>
      </c>
      <c r="U56" s="5">
        <v>13.889799999999999</v>
      </c>
      <c r="V56" s="3">
        <v>1</v>
      </c>
      <c r="W56" s="3">
        <v>0</v>
      </c>
      <c r="X56" s="3">
        <f t="shared" si="10"/>
        <v>1</v>
      </c>
      <c r="Y56" s="3">
        <f t="shared" si="11"/>
        <v>1</v>
      </c>
    </row>
    <row r="57" spans="1:25" ht="18" customHeight="1">
      <c r="A57" s="3">
        <v>2017</v>
      </c>
      <c r="B57" s="3">
        <v>8</v>
      </c>
      <c r="C57" s="3">
        <f t="shared" si="6"/>
        <v>691</v>
      </c>
      <c r="D57" s="4">
        <v>13342</v>
      </c>
      <c r="E57" s="5">
        <f t="shared" si="7"/>
        <v>1.6788000000000007</v>
      </c>
      <c r="F57" s="5">
        <f>IF(COUNT(flow_components!C57:E57)=3,SUM(flow_components!C57:E57),"")</f>
        <v>2.4530654289999969</v>
      </c>
      <c r="G57" s="5">
        <v>122.12049</v>
      </c>
      <c r="H57" s="5">
        <v>92.668000000000006</v>
      </c>
      <c r="I57" s="5">
        <v>2.117</v>
      </c>
      <c r="J57" s="5">
        <v>10.59</v>
      </c>
      <c r="K57" s="5">
        <v>4.5</v>
      </c>
      <c r="L57" s="5">
        <v>1</v>
      </c>
      <c r="M57" s="5">
        <v>1.25</v>
      </c>
      <c r="N57" s="5">
        <f t="shared" si="8"/>
        <v>1.125</v>
      </c>
      <c r="O57" s="5">
        <f t="shared" si="9"/>
        <v>3.375</v>
      </c>
      <c r="P57" s="3">
        <f>IF(COUNTIFS(rating_events!$B$2:$B$13,C57,rating_events!$D$2:$D$13,"rating_upgrade")&gt;0,1,0)</f>
        <v>0</v>
      </c>
      <c r="Q57" s="3">
        <f>IF(COUNTIFS(rating_events!$B$2:$B$13,C57,rating_events!$D$2:$D$13,"rating_downgrade")&gt;0,1,0)</f>
        <v>0</v>
      </c>
      <c r="R57" s="3">
        <f>IF(COUNTIFS(rating_events!$B$2:$B$13,C57,rating_events!$D$2:$D$13,"outlook_improvement")&gt;0,1,0)</f>
        <v>0</v>
      </c>
      <c r="S57" s="3">
        <f>IF(COUNTIFS(rating_events!$B$2:$B$13,C57,rating_events!$D$2:$D$13,"outlook_deterioration")&gt;0,1,0)</f>
        <v>0</v>
      </c>
      <c r="T57" s="5">
        <v>15.188000000000001</v>
      </c>
      <c r="U57" s="5">
        <v>13.5092</v>
      </c>
      <c r="V57" s="3">
        <v>1</v>
      </c>
      <c r="W57" s="3">
        <v>0</v>
      </c>
      <c r="X57" s="3">
        <f t="shared" si="10"/>
        <v>1</v>
      </c>
      <c r="Y57" s="3">
        <f t="shared" si="11"/>
        <v>1</v>
      </c>
    </row>
    <row r="58" spans="1:25" ht="18" customHeight="1">
      <c r="A58" s="3">
        <v>2017</v>
      </c>
      <c r="B58" s="3">
        <v>9</v>
      </c>
      <c r="C58" s="3">
        <f t="shared" si="6"/>
        <v>692</v>
      </c>
      <c r="D58" s="4">
        <v>13472</v>
      </c>
      <c r="E58" s="5">
        <f t="shared" si="7"/>
        <v>1.7919999999999998</v>
      </c>
      <c r="F58" s="5">
        <f>IF(COUNT(flow_components!C58:E58)=3,SUM(flow_components!C58:E58),"")</f>
        <v>17.771656258000011</v>
      </c>
      <c r="G58" s="5">
        <v>122.81336</v>
      </c>
      <c r="H58" s="5">
        <v>93.075999999999993</v>
      </c>
      <c r="I58" s="5">
        <v>2.3336000000000001</v>
      </c>
      <c r="J58" s="5">
        <v>9.51</v>
      </c>
      <c r="K58" s="5">
        <v>4.25</v>
      </c>
      <c r="L58" s="5">
        <v>1</v>
      </c>
      <c r="M58" s="5">
        <v>1.25</v>
      </c>
      <c r="N58" s="5">
        <f t="shared" si="8"/>
        <v>1.125</v>
      </c>
      <c r="O58" s="5">
        <f t="shared" si="9"/>
        <v>3.125</v>
      </c>
      <c r="P58" s="3">
        <f>IF(COUNTIFS(rating_events!$B$2:$B$13,C58,rating_events!$D$2:$D$13,"rating_upgrade")&gt;0,1,0)</f>
        <v>0</v>
      </c>
      <c r="Q58" s="3">
        <f>IF(COUNTIFS(rating_events!$B$2:$B$13,C58,rating_events!$D$2:$D$13,"rating_downgrade")&gt;0,1,0)</f>
        <v>0</v>
      </c>
      <c r="R58" s="3">
        <f>IF(COUNTIFS(rating_events!$B$2:$B$13,C58,rating_events!$D$2:$D$13,"outlook_improvement")&gt;0,1,0)</f>
        <v>0</v>
      </c>
      <c r="S58" s="3">
        <f>IF(COUNTIFS(rating_events!$B$2:$B$13,C58,rating_events!$D$2:$D$13,"outlook_deterioration")&gt;0,1,0)</f>
        <v>0</v>
      </c>
      <c r="T58" s="5">
        <v>14.580200000000001</v>
      </c>
      <c r="U58" s="5">
        <v>12.788200000000002</v>
      </c>
      <c r="V58" s="3">
        <v>1</v>
      </c>
      <c r="W58" s="3">
        <v>0</v>
      </c>
      <c r="X58" s="3">
        <f t="shared" si="10"/>
        <v>1</v>
      </c>
      <c r="Y58" s="3">
        <f t="shared" si="11"/>
        <v>1</v>
      </c>
    </row>
    <row r="59" spans="1:25" ht="18" customHeight="1">
      <c r="A59" s="3">
        <v>2017</v>
      </c>
      <c r="B59" s="3">
        <v>10</v>
      </c>
      <c r="C59" s="3">
        <f t="shared" si="6"/>
        <v>693</v>
      </c>
      <c r="D59" s="4">
        <v>13563</v>
      </c>
      <c r="E59" s="5">
        <f t="shared" si="7"/>
        <v>1.003400000000001</v>
      </c>
      <c r="F59" s="5">
        <f>IF(COUNT(flow_components!C59:E59)=3,SUM(flow_components!C59:E59),"")</f>
        <v>-29.371240104999998</v>
      </c>
      <c r="G59" s="5">
        <v>119.99375999999999</v>
      </c>
      <c r="H59" s="5">
        <v>94.552000000000007</v>
      </c>
      <c r="I59" s="5">
        <v>2.3793000000000002</v>
      </c>
      <c r="J59" s="5">
        <v>10.18</v>
      </c>
      <c r="K59" s="5">
        <v>4.25</v>
      </c>
      <c r="L59" s="5">
        <v>1</v>
      </c>
      <c r="M59" s="5">
        <v>1.25</v>
      </c>
      <c r="N59" s="5">
        <f t="shared" si="8"/>
        <v>1.125</v>
      </c>
      <c r="O59" s="5">
        <f t="shared" si="9"/>
        <v>3.125</v>
      </c>
      <c r="P59" s="3">
        <f>IF(COUNTIFS(rating_events!$B$2:$B$13,C59,rating_events!$D$2:$D$13,"rating_upgrade")&gt;0,1,0)</f>
        <v>0</v>
      </c>
      <c r="Q59" s="3">
        <f>IF(COUNTIFS(rating_events!$B$2:$B$13,C59,rating_events!$D$2:$D$13,"rating_downgrade")&gt;0,1,0)</f>
        <v>0</v>
      </c>
      <c r="R59" s="3">
        <f>IF(COUNTIFS(rating_events!$B$2:$B$13,C59,rating_events!$D$2:$D$13,"outlook_improvement")&gt;0,1,0)</f>
        <v>0</v>
      </c>
      <c r="S59" s="3">
        <f>IF(COUNTIFS(rating_events!$B$2:$B$13,C59,rating_events!$D$2:$D$13,"outlook_deterioration")&gt;0,1,0)</f>
        <v>0</v>
      </c>
      <c r="T59" s="5">
        <v>15.252600000000001</v>
      </c>
      <c r="U59" s="5">
        <v>14.2492</v>
      </c>
      <c r="V59" s="3">
        <v>1</v>
      </c>
      <c r="W59" s="3">
        <v>0</v>
      </c>
      <c r="X59" s="3">
        <f t="shared" si="10"/>
        <v>1</v>
      </c>
      <c r="Y59" s="3">
        <f t="shared" si="11"/>
        <v>1</v>
      </c>
    </row>
    <row r="60" spans="1:25" ht="18" customHeight="1">
      <c r="A60" s="3">
        <v>2017</v>
      </c>
      <c r="B60" s="3">
        <v>11</v>
      </c>
      <c r="C60" s="3">
        <f t="shared" si="6"/>
        <v>694</v>
      </c>
      <c r="D60" s="4">
        <v>13526</v>
      </c>
      <c r="E60" s="5">
        <f t="shared" si="7"/>
        <v>0.2212000000000014</v>
      </c>
      <c r="F60" s="5">
        <f>IF(COUNT(flow_components!C60:E60)=3,SUM(flow_components!C60:E60),"")</f>
        <v>15.994537485999999</v>
      </c>
      <c r="G60" s="5">
        <v>119.36037</v>
      </c>
      <c r="H60" s="5">
        <v>93.046999999999997</v>
      </c>
      <c r="I60" s="5">
        <v>2.4097</v>
      </c>
      <c r="J60" s="5">
        <v>11.28</v>
      </c>
      <c r="K60" s="5">
        <v>4.25</v>
      </c>
      <c r="L60" s="5">
        <v>1</v>
      </c>
      <c r="M60" s="5">
        <v>1.25</v>
      </c>
      <c r="N60" s="5">
        <f t="shared" si="8"/>
        <v>1.125</v>
      </c>
      <c r="O60" s="5">
        <f t="shared" si="9"/>
        <v>3.125</v>
      </c>
      <c r="P60" s="3">
        <f>IF(COUNTIFS(rating_events!$B$2:$B$13,C60,rating_events!$D$2:$D$13,"rating_upgrade")&gt;0,1,0)</f>
        <v>0</v>
      </c>
      <c r="Q60" s="3">
        <f>IF(COUNTIFS(rating_events!$B$2:$B$13,C60,rating_events!$D$2:$D$13,"rating_downgrade")&gt;0,1,0)</f>
        <v>0</v>
      </c>
      <c r="R60" s="3">
        <f>IF(COUNTIFS(rating_events!$B$2:$B$13,C60,rating_events!$D$2:$D$13,"outlook_improvement")&gt;0,1,0)</f>
        <v>0</v>
      </c>
      <c r="S60" s="3">
        <f>IF(COUNTIFS(rating_events!$B$2:$B$13,C60,rating_events!$D$2:$D$13,"outlook_deterioration")&gt;0,1,0)</f>
        <v>0</v>
      </c>
      <c r="T60" s="5">
        <v>15.334700000000002</v>
      </c>
      <c r="U60" s="5">
        <v>15.1135</v>
      </c>
      <c r="V60" s="3">
        <v>1</v>
      </c>
      <c r="W60" s="3">
        <v>0</v>
      </c>
      <c r="X60" s="3">
        <f t="shared" si="10"/>
        <v>1</v>
      </c>
      <c r="Y60" s="3">
        <f t="shared" si="11"/>
        <v>1</v>
      </c>
    </row>
    <row r="61" spans="1:25" ht="18" customHeight="1">
      <c r="A61" s="3">
        <v>2017</v>
      </c>
      <c r="B61" s="3">
        <v>12</v>
      </c>
      <c r="C61" s="3">
        <f t="shared" si="6"/>
        <v>695</v>
      </c>
      <c r="D61" s="4">
        <v>13568</v>
      </c>
      <c r="E61" s="5">
        <f t="shared" si="7"/>
        <v>-0.24000000000000021</v>
      </c>
      <c r="F61" s="5">
        <f>IF(COUNT(flow_components!C61:E61)=3,SUM(flow_components!C61:E61),"")</f>
        <v>-3.5181202040000006</v>
      </c>
      <c r="G61" s="5">
        <v>123.56453999999999</v>
      </c>
      <c r="H61" s="5">
        <v>92.123999999999995</v>
      </c>
      <c r="I61" s="5">
        <v>2.4054000000000002</v>
      </c>
      <c r="J61" s="5">
        <v>11.04</v>
      </c>
      <c r="K61" s="5">
        <v>4.25</v>
      </c>
      <c r="L61" s="5">
        <v>1.25</v>
      </c>
      <c r="M61" s="5">
        <v>1.5</v>
      </c>
      <c r="N61" s="5">
        <f t="shared" si="8"/>
        <v>1.375</v>
      </c>
      <c r="O61" s="5">
        <f t="shared" si="9"/>
        <v>2.875</v>
      </c>
      <c r="P61" s="3">
        <f>IF(COUNTIFS(rating_events!$B$2:$B$13,C61,rating_events!$D$2:$D$13,"rating_upgrade")&gt;0,1,0)</f>
        <v>1</v>
      </c>
      <c r="Q61" s="3">
        <f>IF(COUNTIFS(rating_events!$B$2:$B$13,C61,rating_events!$D$2:$D$13,"rating_downgrade")&gt;0,1,0)</f>
        <v>0</v>
      </c>
      <c r="R61" s="3">
        <f>IF(COUNTIFS(rating_events!$B$2:$B$13,C61,rating_events!$D$2:$D$13,"outlook_improvement")&gt;0,1,0)</f>
        <v>0</v>
      </c>
      <c r="S61" s="3">
        <f>IF(COUNTIFS(rating_events!$B$2:$B$13,C61,rating_events!$D$2:$D$13,"outlook_deterioration")&gt;0,1,0)</f>
        <v>0</v>
      </c>
      <c r="T61" s="5">
        <v>14.8645</v>
      </c>
      <c r="U61" s="5">
        <v>15.1045</v>
      </c>
      <c r="V61" s="3">
        <v>1</v>
      </c>
      <c r="W61" s="3">
        <v>0</v>
      </c>
      <c r="X61" s="3">
        <f t="shared" si="10"/>
        <v>1</v>
      </c>
      <c r="Y61" s="3">
        <f t="shared" si="11"/>
        <v>1</v>
      </c>
    </row>
    <row r="62" spans="1:25" ht="18" customHeight="1">
      <c r="A62" s="3">
        <v>2018</v>
      </c>
      <c r="B62" s="3">
        <v>1</v>
      </c>
      <c r="C62" s="3">
        <f t="shared" si="6"/>
        <v>696</v>
      </c>
      <c r="D62" s="4">
        <v>13389</v>
      </c>
      <c r="E62" s="5">
        <f t="shared" si="7"/>
        <v>-0.73310000000000031</v>
      </c>
      <c r="F62" s="5">
        <f>IF(COUNT(flow_components!C62:E62)=3,SUM(flow_components!C62:E62),"")</f>
        <v>34.510666817999997</v>
      </c>
      <c r="G62" s="5">
        <v>125.13211</v>
      </c>
      <c r="H62" s="5">
        <v>89.132999999999996</v>
      </c>
      <c r="I62" s="5">
        <v>2.7050000000000001</v>
      </c>
      <c r="J62" s="5">
        <v>13.54</v>
      </c>
      <c r="K62" s="5">
        <v>4.25</v>
      </c>
      <c r="L62" s="5">
        <v>1.25</v>
      </c>
      <c r="M62" s="5">
        <v>1.5</v>
      </c>
      <c r="N62" s="5">
        <f t="shared" si="8"/>
        <v>1.375</v>
      </c>
      <c r="O62" s="5">
        <f t="shared" si="9"/>
        <v>2.875</v>
      </c>
      <c r="P62" s="3">
        <f>IF(COUNTIFS(rating_events!$B$2:$B$13,C62,rating_events!$D$2:$D$13,"rating_upgrade")&gt;0,1,0)</f>
        <v>0</v>
      </c>
      <c r="Q62" s="3">
        <f>IF(COUNTIFS(rating_events!$B$2:$B$13,C62,rating_events!$D$2:$D$13,"rating_downgrade")&gt;0,1,0)</f>
        <v>0</v>
      </c>
      <c r="R62" s="3">
        <f>IF(COUNTIFS(rating_events!$B$2:$B$13,C62,rating_events!$D$2:$D$13,"outlook_improvement")&gt;0,1,0)</f>
        <v>0</v>
      </c>
      <c r="S62" s="3">
        <f>IF(COUNTIFS(rating_events!$B$2:$B$13,C62,rating_events!$D$2:$D$13,"outlook_deterioration")&gt;0,1,0)</f>
        <v>0</v>
      </c>
      <c r="T62" s="5">
        <v>14.5763</v>
      </c>
      <c r="U62" s="5">
        <v>15.3094</v>
      </c>
      <c r="V62" s="3">
        <v>1</v>
      </c>
      <c r="W62" s="3">
        <v>0</v>
      </c>
      <c r="X62" s="3">
        <f t="shared" si="10"/>
        <v>1</v>
      </c>
      <c r="Y62" s="3">
        <f t="shared" si="11"/>
        <v>1</v>
      </c>
    </row>
    <row r="63" spans="1:25" ht="18" customHeight="1">
      <c r="A63" s="3">
        <v>2018</v>
      </c>
      <c r="B63" s="3">
        <v>2</v>
      </c>
      <c r="C63" s="3">
        <f t="shared" si="6"/>
        <v>697</v>
      </c>
      <c r="D63" s="4">
        <v>13745</v>
      </c>
      <c r="E63" s="5">
        <f t="shared" si="7"/>
        <v>-5.3099999999998815E-2</v>
      </c>
      <c r="F63" s="5">
        <f>IF(COUNT(flow_components!C63:E63)=3,SUM(flow_components!C63:E63),"")</f>
        <v>-31.263868331000001</v>
      </c>
      <c r="G63" s="5">
        <v>121.26191</v>
      </c>
      <c r="H63" s="5">
        <v>90.613</v>
      </c>
      <c r="I63" s="5">
        <v>2.8605999999999998</v>
      </c>
      <c r="J63" s="5">
        <v>19.850000000000001</v>
      </c>
      <c r="K63" s="5">
        <v>4.25</v>
      </c>
      <c r="L63" s="5">
        <v>1.25</v>
      </c>
      <c r="M63" s="5">
        <v>1.5</v>
      </c>
      <c r="N63" s="5">
        <f t="shared" si="8"/>
        <v>1.375</v>
      </c>
      <c r="O63" s="5">
        <f t="shared" si="9"/>
        <v>2.875</v>
      </c>
      <c r="P63" s="3">
        <f>IF(COUNTIFS(rating_events!$B$2:$B$13,C63,rating_events!$D$2:$D$13,"rating_upgrade")&gt;0,1,0)</f>
        <v>0</v>
      </c>
      <c r="Q63" s="3">
        <f>IF(COUNTIFS(rating_events!$B$2:$B$13,C63,rating_events!$D$2:$D$13,"rating_downgrade")&gt;0,1,0)</f>
        <v>0</v>
      </c>
      <c r="R63" s="3">
        <f>IF(COUNTIFS(rating_events!$B$2:$B$13,C63,rating_events!$D$2:$D$13,"outlook_improvement")&gt;0,1,0)</f>
        <v>0</v>
      </c>
      <c r="S63" s="3">
        <f>IF(COUNTIFS(rating_events!$B$2:$B$13,C63,rating_events!$D$2:$D$13,"outlook_deterioration")&gt;0,1,0)</f>
        <v>0</v>
      </c>
      <c r="T63" s="5">
        <v>14.132400000000001</v>
      </c>
      <c r="U63" s="5">
        <v>14.185499999999999</v>
      </c>
      <c r="V63" s="3">
        <v>1</v>
      </c>
      <c r="W63" s="3">
        <v>0</v>
      </c>
      <c r="X63" s="3">
        <f t="shared" si="10"/>
        <v>1</v>
      </c>
      <c r="Y63" s="3">
        <f t="shared" si="11"/>
        <v>1</v>
      </c>
    </row>
    <row r="64" spans="1:25" ht="18" customHeight="1">
      <c r="A64" s="3">
        <v>2018</v>
      </c>
      <c r="B64" s="3">
        <v>3</v>
      </c>
      <c r="C64" s="3">
        <f t="shared" si="6"/>
        <v>698</v>
      </c>
      <c r="D64" s="4">
        <v>13768</v>
      </c>
      <c r="E64" s="5">
        <f t="shared" si="7"/>
        <v>1.0470000000000006</v>
      </c>
      <c r="F64" s="5">
        <f>IF(COUNT(flow_components!C64:E64)=3,SUM(flow_components!C64:E64),"")</f>
        <v>-4.3617434569999922</v>
      </c>
      <c r="G64" s="5">
        <v>119.17721</v>
      </c>
      <c r="H64" s="5">
        <v>89.974000000000004</v>
      </c>
      <c r="I64" s="5">
        <v>2.7389000000000001</v>
      </c>
      <c r="J64" s="5">
        <v>19.97</v>
      </c>
      <c r="K64" s="5">
        <v>4.25</v>
      </c>
      <c r="L64" s="5">
        <v>1.5</v>
      </c>
      <c r="M64" s="5">
        <v>1.75</v>
      </c>
      <c r="N64" s="5">
        <f t="shared" si="8"/>
        <v>1.625</v>
      </c>
      <c r="O64" s="5">
        <f t="shared" si="9"/>
        <v>2.625</v>
      </c>
      <c r="P64" s="3">
        <f>IF(COUNTIFS(rating_events!$B$2:$B$13,C64,rating_events!$D$2:$D$13,"rating_upgrade")&gt;0,1,0)</f>
        <v>0</v>
      </c>
      <c r="Q64" s="3">
        <f>IF(COUNTIFS(rating_events!$B$2:$B$13,C64,rating_events!$D$2:$D$13,"rating_downgrade")&gt;0,1,0)</f>
        <v>0</v>
      </c>
      <c r="R64" s="3">
        <f>IF(COUNTIFS(rating_events!$B$2:$B$13,C64,rating_events!$D$2:$D$13,"outlook_improvement")&gt;0,1,0)</f>
        <v>0</v>
      </c>
      <c r="S64" s="3">
        <f>IF(COUNTIFS(rating_events!$B$2:$B$13,C64,rating_events!$D$2:$D$13,"outlook_deterioration")&gt;0,1,0)</f>
        <v>0</v>
      </c>
      <c r="T64" s="5">
        <v>15.5106</v>
      </c>
      <c r="U64" s="5">
        <v>14.4636</v>
      </c>
      <c r="V64" s="3">
        <v>1</v>
      </c>
      <c r="W64" s="3">
        <v>0</v>
      </c>
      <c r="X64" s="3">
        <f t="shared" si="10"/>
        <v>1</v>
      </c>
      <c r="Y64" s="3">
        <f t="shared" si="11"/>
        <v>1</v>
      </c>
    </row>
    <row r="65" spans="1:25" ht="18" customHeight="1">
      <c r="A65" s="3">
        <v>2018</v>
      </c>
      <c r="B65" s="3">
        <v>4</v>
      </c>
      <c r="C65" s="3">
        <f t="shared" si="6"/>
        <v>699</v>
      </c>
      <c r="D65" s="4">
        <v>13913</v>
      </c>
      <c r="E65" s="5">
        <f t="shared" si="7"/>
        <v>-1.6660999999999984</v>
      </c>
      <c r="F65" s="5">
        <f>IF(COUNT(flow_components!C65:E65)=3,SUM(flow_components!C65:E65),"")</f>
        <v>-26.395651389999998</v>
      </c>
      <c r="G65" s="5">
        <v>118.09820000000001</v>
      </c>
      <c r="H65" s="5">
        <v>91.840999999999994</v>
      </c>
      <c r="I65" s="5">
        <v>2.9531000000000001</v>
      </c>
      <c r="J65" s="5">
        <v>15.93</v>
      </c>
      <c r="K65" s="5">
        <v>4.25</v>
      </c>
      <c r="L65" s="5">
        <v>1.5</v>
      </c>
      <c r="M65" s="5">
        <v>1.75</v>
      </c>
      <c r="N65" s="5">
        <f t="shared" si="8"/>
        <v>1.625</v>
      </c>
      <c r="O65" s="5">
        <f t="shared" si="9"/>
        <v>2.625</v>
      </c>
      <c r="P65" s="3">
        <f>IF(COUNTIFS(rating_events!$B$2:$B$13,C65,rating_events!$D$2:$D$13,"rating_upgrade")&gt;0,1,0)</f>
        <v>1</v>
      </c>
      <c r="Q65" s="3">
        <f>IF(COUNTIFS(rating_events!$B$2:$B$13,C65,rating_events!$D$2:$D$13,"rating_downgrade")&gt;0,1,0)</f>
        <v>0</v>
      </c>
      <c r="R65" s="3">
        <f>IF(COUNTIFS(rating_events!$B$2:$B$13,C65,rating_events!$D$2:$D$13,"outlook_improvement")&gt;0,1,0)</f>
        <v>0</v>
      </c>
      <c r="S65" s="3">
        <f>IF(COUNTIFS(rating_events!$B$2:$B$13,C65,rating_events!$D$2:$D$13,"outlook_deterioration")&gt;0,1,0)</f>
        <v>0</v>
      </c>
      <c r="T65" s="5">
        <v>14.4962</v>
      </c>
      <c r="U65" s="5">
        <v>16.162299999999998</v>
      </c>
      <c r="V65" s="3">
        <v>1</v>
      </c>
      <c r="W65" s="3">
        <v>0</v>
      </c>
      <c r="X65" s="3">
        <f t="shared" si="10"/>
        <v>1</v>
      </c>
      <c r="Y65" s="3">
        <f t="shared" si="11"/>
        <v>1</v>
      </c>
    </row>
    <row r="66" spans="1:25" ht="18" customHeight="1">
      <c r="A66" s="3">
        <v>2018</v>
      </c>
      <c r="B66" s="3">
        <v>5</v>
      </c>
      <c r="C66" s="3">
        <f t="shared" ref="C66:C97" si="12">12*(A66-1960)+B66-1</f>
        <v>700</v>
      </c>
      <c r="D66" s="4">
        <v>13894</v>
      </c>
      <c r="E66" s="5">
        <f t="shared" ref="E66:E97" si="13">IF(COUNT(T66:U66)=2,T66-U66,"")</f>
        <v>-1.4646000000000008</v>
      </c>
      <c r="F66" s="5">
        <f>IF(COUNT(flow_components!C66:E66)=3,SUM(flow_components!C66:E66),"")</f>
        <v>-17.856907113000002</v>
      </c>
      <c r="G66" s="5">
        <v>116.24193</v>
      </c>
      <c r="H66" s="5">
        <v>93.978999999999999</v>
      </c>
      <c r="I66" s="5">
        <v>2.8586</v>
      </c>
      <c r="J66" s="5">
        <v>15.43</v>
      </c>
      <c r="K66" s="5">
        <v>4.75</v>
      </c>
      <c r="L66" s="5">
        <v>1.5</v>
      </c>
      <c r="M66" s="5">
        <v>1.75</v>
      </c>
      <c r="N66" s="5">
        <f t="shared" ref="N66:N97" si="14">(L66+M66)/2</f>
        <v>1.625</v>
      </c>
      <c r="O66" s="5">
        <f t="shared" ref="O66:O97" si="15">K66-N66</f>
        <v>3.125</v>
      </c>
      <c r="P66" s="3">
        <f>IF(COUNTIFS(rating_events!$B$2:$B$13,C66,rating_events!$D$2:$D$13,"rating_upgrade")&gt;0,1,0)</f>
        <v>0</v>
      </c>
      <c r="Q66" s="3">
        <f>IF(COUNTIFS(rating_events!$B$2:$B$13,C66,rating_events!$D$2:$D$13,"rating_downgrade")&gt;0,1,0)</f>
        <v>0</v>
      </c>
      <c r="R66" s="3">
        <f>IF(COUNTIFS(rating_events!$B$2:$B$13,C66,rating_events!$D$2:$D$13,"outlook_improvement")&gt;0,1,0)</f>
        <v>0</v>
      </c>
      <c r="S66" s="3">
        <f>IF(COUNTIFS(rating_events!$B$2:$B$13,C66,rating_events!$D$2:$D$13,"outlook_deterioration")&gt;0,1,0)</f>
        <v>0</v>
      </c>
      <c r="T66" s="5">
        <v>16.1983</v>
      </c>
      <c r="U66" s="5">
        <v>17.6629</v>
      </c>
      <c r="V66" s="3">
        <v>1</v>
      </c>
      <c r="W66" s="3">
        <v>0</v>
      </c>
      <c r="X66" s="3">
        <f t="shared" ref="X66:X97" si="16">IF(AND(A66&gt;=2014,Y66=1),1,0)</f>
        <v>1</v>
      </c>
      <c r="Y66" s="3">
        <f t="shared" ref="Y66:Y97" si="17">IF(COUNT(D66:H66)=5,1,0)</f>
        <v>1</v>
      </c>
    </row>
    <row r="67" spans="1:25" ht="18" customHeight="1">
      <c r="A67" s="3">
        <v>2018</v>
      </c>
      <c r="B67" s="3">
        <v>6</v>
      </c>
      <c r="C67" s="3">
        <f t="shared" si="12"/>
        <v>701</v>
      </c>
      <c r="D67" s="4">
        <v>14330</v>
      </c>
      <c r="E67" s="5">
        <f t="shared" si="13"/>
        <v>1.6738000000000017</v>
      </c>
      <c r="F67" s="5">
        <f>IF(COUNT(flow_components!C67:E67)=3,SUM(flow_components!C67:E67),"")</f>
        <v>-13.692311116999999</v>
      </c>
      <c r="G67" s="5">
        <v>113.39941</v>
      </c>
      <c r="H67" s="5">
        <v>94.47</v>
      </c>
      <c r="I67" s="5">
        <v>2.8601000000000001</v>
      </c>
      <c r="J67" s="5">
        <v>16.09</v>
      </c>
      <c r="K67" s="5">
        <v>5.25</v>
      </c>
      <c r="L67" s="5">
        <v>1.75</v>
      </c>
      <c r="M67" s="5">
        <v>2</v>
      </c>
      <c r="N67" s="5">
        <f t="shared" si="14"/>
        <v>1.875</v>
      </c>
      <c r="O67" s="5">
        <f t="shared" si="15"/>
        <v>3.375</v>
      </c>
      <c r="P67" s="3">
        <f>IF(COUNTIFS(rating_events!$B$2:$B$13,C67,rating_events!$D$2:$D$13,"rating_upgrade")&gt;0,1,0)</f>
        <v>0</v>
      </c>
      <c r="Q67" s="3">
        <f>IF(COUNTIFS(rating_events!$B$2:$B$13,C67,rating_events!$D$2:$D$13,"rating_downgrade")&gt;0,1,0)</f>
        <v>0</v>
      </c>
      <c r="R67" s="3">
        <f>IF(COUNTIFS(rating_events!$B$2:$B$13,C67,rating_events!$D$2:$D$13,"outlook_improvement")&gt;0,1,0)</f>
        <v>0</v>
      </c>
      <c r="S67" s="3">
        <f>IF(COUNTIFS(rating_events!$B$2:$B$13,C67,rating_events!$D$2:$D$13,"outlook_deterioration")&gt;0,1,0)</f>
        <v>0</v>
      </c>
      <c r="T67" s="5">
        <v>12.941700000000001</v>
      </c>
      <c r="U67" s="5">
        <v>11.267899999999999</v>
      </c>
      <c r="V67" s="3">
        <v>1</v>
      </c>
      <c r="W67" s="3">
        <v>0</v>
      </c>
      <c r="X67" s="3">
        <f t="shared" si="16"/>
        <v>1</v>
      </c>
      <c r="Y67" s="3">
        <f t="shared" si="17"/>
        <v>1</v>
      </c>
    </row>
    <row r="68" spans="1:25" ht="18" customHeight="1">
      <c r="A68" s="3">
        <v>2018</v>
      </c>
      <c r="B68" s="3">
        <v>7</v>
      </c>
      <c r="C68" s="3">
        <f t="shared" si="12"/>
        <v>702</v>
      </c>
      <c r="D68" s="4">
        <v>14420</v>
      </c>
      <c r="E68" s="5">
        <f t="shared" si="13"/>
        <v>-2.012399999999996</v>
      </c>
      <c r="F68" s="5">
        <f>IF(COUNT(flow_components!C68:E68)=3,SUM(flow_components!C68:E68),"")</f>
        <v>9.8856762410000005</v>
      </c>
      <c r="G68" s="5">
        <v>111.95151</v>
      </c>
      <c r="H68" s="5">
        <v>94.554000000000002</v>
      </c>
      <c r="I68" s="5">
        <v>2.9598</v>
      </c>
      <c r="J68" s="5">
        <v>12.83</v>
      </c>
      <c r="K68" s="5">
        <v>5.25</v>
      </c>
      <c r="L68" s="5">
        <v>1.75</v>
      </c>
      <c r="M68" s="5">
        <v>2</v>
      </c>
      <c r="N68" s="5">
        <f t="shared" si="14"/>
        <v>1.875</v>
      </c>
      <c r="O68" s="5">
        <f t="shared" si="15"/>
        <v>3.375</v>
      </c>
      <c r="P68" s="3">
        <f>IF(COUNTIFS(rating_events!$B$2:$B$13,C68,rating_events!$D$2:$D$13,"rating_upgrade")&gt;0,1,0)</f>
        <v>0</v>
      </c>
      <c r="Q68" s="3">
        <f>IF(COUNTIFS(rating_events!$B$2:$B$13,C68,rating_events!$D$2:$D$13,"rating_downgrade")&gt;0,1,0)</f>
        <v>0</v>
      </c>
      <c r="R68" s="3">
        <f>IF(COUNTIFS(rating_events!$B$2:$B$13,C68,rating_events!$D$2:$D$13,"outlook_improvement")&gt;0,1,0)</f>
        <v>0</v>
      </c>
      <c r="S68" s="3">
        <f>IF(COUNTIFS(rating_events!$B$2:$B$13,C68,rating_events!$D$2:$D$13,"outlook_deterioration")&gt;0,1,0)</f>
        <v>0</v>
      </c>
      <c r="T68" s="5">
        <v>16.284700000000001</v>
      </c>
      <c r="U68" s="5">
        <v>18.297099999999997</v>
      </c>
      <c r="V68" s="3">
        <v>1</v>
      </c>
      <c r="W68" s="3">
        <v>0</v>
      </c>
      <c r="X68" s="3">
        <f t="shared" si="16"/>
        <v>1</v>
      </c>
      <c r="Y68" s="3">
        <f t="shared" si="17"/>
        <v>1</v>
      </c>
    </row>
    <row r="69" spans="1:25" ht="18" customHeight="1">
      <c r="A69" s="3">
        <v>2018</v>
      </c>
      <c r="B69" s="3">
        <v>8</v>
      </c>
      <c r="C69" s="3">
        <f t="shared" si="12"/>
        <v>703</v>
      </c>
      <c r="D69" s="4">
        <v>14730</v>
      </c>
      <c r="E69" s="5">
        <f t="shared" si="13"/>
        <v>-0.95299999999999763</v>
      </c>
      <c r="F69" s="5">
        <f>IF(COUNT(flow_components!C69:E69)=3,SUM(flow_components!C69:E69),"")</f>
        <v>13.201859618999999</v>
      </c>
      <c r="G69" s="5">
        <v>111.65000999999999</v>
      </c>
      <c r="H69" s="5">
        <v>95.14</v>
      </c>
      <c r="I69" s="5">
        <v>2.8603999999999998</v>
      </c>
      <c r="J69" s="5">
        <v>12.86</v>
      </c>
      <c r="K69" s="5">
        <v>5.5</v>
      </c>
      <c r="L69" s="5">
        <v>1.75</v>
      </c>
      <c r="M69" s="5">
        <v>2</v>
      </c>
      <c r="N69" s="5">
        <f t="shared" si="14"/>
        <v>1.875</v>
      </c>
      <c r="O69" s="5">
        <f t="shared" si="15"/>
        <v>3.625</v>
      </c>
      <c r="P69" s="3">
        <f>IF(COUNTIFS(rating_events!$B$2:$B$13,C69,rating_events!$D$2:$D$13,"rating_upgrade")&gt;0,1,0)</f>
        <v>0</v>
      </c>
      <c r="Q69" s="3">
        <f>IF(COUNTIFS(rating_events!$B$2:$B$13,C69,rating_events!$D$2:$D$13,"rating_downgrade")&gt;0,1,0)</f>
        <v>0</v>
      </c>
      <c r="R69" s="3">
        <f>IF(COUNTIFS(rating_events!$B$2:$B$13,C69,rating_events!$D$2:$D$13,"outlook_improvement")&gt;0,1,0)</f>
        <v>0</v>
      </c>
      <c r="S69" s="3">
        <f>IF(COUNTIFS(rating_events!$B$2:$B$13,C69,rating_events!$D$2:$D$13,"outlook_deterioration")&gt;0,1,0)</f>
        <v>0</v>
      </c>
      <c r="T69" s="5">
        <v>15.8651</v>
      </c>
      <c r="U69" s="5">
        <v>16.818099999999998</v>
      </c>
      <c r="V69" s="3">
        <v>1</v>
      </c>
      <c r="W69" s="3">
        <v>0</v>
      </c>
      <c r="X69" s="3">
        <f t="shared" si="16"/>
        <v>1</v>
      </c>
      <c r="Y69" s="3">
        <f t="shared" si="17"/>
        <v>1</v>
      </c>
    </row>
    <row r="70" spans="1:25" ht="18" customHeight="1">
      <c r="A70" s="3">
        <v>2018</v>
      </c>
      <c r="B70" s="3">
        <v>9</v>
      </c>
      <c r="C70" s="3">
        <f t="shared" si="12"/>
        <v>704</v>
      </c>
      <c r="D70" s="4">
        <v>14903</v>
      </c>
      <c r="E70" s="5">
        <f t="shared" si="13"/>
        <v>0.34619999999999784</v>
      </c>
      <c r="F70" s="5">
        <f>IF(COUNT(flow_components!C70:E70)=3,SUM(flow_components!C70:E70),"")</f>
        <v>-4.2037589700000009</v>
      </c>
      <c r="G70" s="5">
        <v>108.60081</v>
      </c>
      <c r="H70" s="5">
        <v>95.132000000000005</v>
      </c>
      <c r="I70" s="5">
        <v>3.0611999999999999</v>
      </c>
      <c r="J70" s="5">
        <v>12.12</v>
      </c>
      <c r="K70" s="5">
        <v>5.75</v>
      </c>
      <c r="L70" s="5">
        <v>2</v>
      </c>
      <c r="M70" s="5">
        <v>2.25</v>
      </c>
      <c r="N70" s="5">
        <f t="shared" si="14"/>
        <v>2.125</v>
      </c>
      <c r="O70" s="5">
        <f t="shared" si="15"/>
        <v>3.625</v>
      </c>
      <c r="P70" s="3">
        <f>IF(COUNTIFS(rating_events!$B$2:$B$13,C70,rating_events!$D$2:$D$13,"rating_upgrade")&gt;0,1,0)</f>
        <v>0</v>
      </c>
      <c r="Q70" s="3">
        <f>IF(COUNTIFS(rating_events!$B$2:$B$13,C70,rating_events!$D$2:$D$13,"rating_downgrade")&gt;0,1,0)</f>
        <v>0</v>
      </c>
      <c r="R70" s="3">
        <f>IF(COUNTIFS(rating_events!$B$2:$B$13,C70,rating_events!$D$2:$D$13,"outlook_improvement")&gt;0,1,0)</f>
        <v>0</v>
      </c>
      <c r="S70" s="3">
        <f>IF(COUNTIFS(rating_events!$B$2:$B$13,C70,rating_events!$D$2:$D$13,"outlook_deterioration")&gt;0,1,0)</f>
        <v>0</v>
      </c>
      <c r="T70" s="5">
        <v>14.956299999999999</v>
      </c>
      <c r="U70" s="5">
        <v>14.610100000000001</v>
      </c>
      <c r="V70" s="3">
        <v>1</v>
      </c>
      <c r="W70" s="3">
        <v>0</v>
      </c>
      <c r="X70" s="3">
        <f t="shared" si="16"/>
        <v>1</v>
      </c>
      <c r="Y70" s="3">
        <f t="shared" si="17"/>
        <v>1</v>
      </c>
    </row>
    <row r="71" spans="1:25" ht="18" customHeight="1">
      <c r="A71" s="3">
        <v>2018</v>
      </c>
      <c r="B71" s="3">
        <v>10</v>
      </c>
      <c r="C71" s="3">
        <f t="shared" si="12"/>
        <v>705</v>
      </c>
      <c r="D71" s="4">
        <v>15203</v>
      </c>
      <c r="E71" s="5">
        <f t="shared" si="13"/>
        <v>-1.7584999999999997</v>
      </c>
      <c r="F71" s="5">
        <f>IF(COUNT(flow_components!C71:E71)=3,SUM(flow_components!C71:E71),"")</f>
        <v>10.055756234</v>
      </c>
      <c r="G71" s="5">
        <v>108.85405</v>
      </c>
      <c r="H71" s="5">
        <v>97.126999999999995</v>
      </c>
      <c r="I71" s="5">
        <v>3.1435</v>
      </c>
      <c r="J71" s="5">
        <v>21.23</v>
      </c>
      <c r="K71" s="5">
        <v>5.75</v>
      </c>
      <c r="L71" s="5">
        <v>2</v>
      </c>
      <c r="M71" s="5">
        <v>2.25</v>
      </c>
      <c r="N71" s="5">
        <f t="shared" si="14"/>
        <v>2.125</v>
      </c>
      <c r="O71" s="5">
        <f t="shared" si="15"/>
        <v>3.625</v>
      </c>
      <c r="P71" s="3">
        <f>IF(COUNTIFS(rating_events!$B$2:$B$13,C71,rating_events!$D$2:$D$13,"rating_upgrade")&gt;0,1,0)</f>
        <v>0</v>
      </c>
      <c r="Q71" s="3">
        <f>IF(COUNTIFS(rating_events!$B$2:$B$13,C71,rating_events!$D$2:$D$13,"rating_downgrade")&gt;0,1,0)</f>
        <v>0</v>
      </c>
      <c r="R71" s="3">
        <f>IF(COUNTIFS(rating_events!$B$2:$B$13,C71,rating_events!$D$2:$D$13,"outlook_improvement")&gt;0,1,0)</f>
        <v>0</v>
      </c>
      <c r="S71" s="3">
        <f>IF(COUNTIFS(rating_events!$B$2:$B$13,C71,rating_events!$D$2:$D$13,"outlook_deterioration")&gt;0,1,0)</f>
        <v>0</v>
      </c>
      <c r="T71" s="5">
        <v>15.9091</v>
      </c>
      <c r="U71" s="5">
        <v>17.6676</v>
      </c>
      <c r="V71" s="3">
        <v>1</v>
      </c>
      <c r="W71" s="3">
        <v>0</v>
      </c>
      <c r="X71" s="3">
        <f t="shared" si="16"/>
        <v>1</v>
      </c>
      <c r="Y71" s="3">
        <f t="shared" si="17"/>
        <v>1</v>
      </c>
    </row>
    <row r="72" spans="1:25" ht="18" customHeight="1">
      <c r="A72" s="3">
        <v>2018</v>
      </c>
      <c r="B72" s="3">
        <v>11</v>
      </c>
      <c r="C72" s="3">
        <f t="shared" si="12"/>
        <v>706</v>
      </c>
      <c r="D72" s="4">
        <v>14302</v>
      </c>
      <c r="E72" s="5">
        <f t="shared" si="13"/>
        <v>-2.0500999999999969</v>
      </c>
      <c r="F72" s="5">
        <f>IF(COUNT(flow_components!C72:E72)=3,SUM(flow_components!C72:E72),"")</f>
        <v>41.698997484000003</v>
      </c>
      <c r="G72" s="5">
        <v>110.90182</v>
      </c>
      <c r="H72" s="5">
        <v>97.272000000000006</v>
      </c>
      <c r="I72" s="5">
        <v>2.9878999999999998</v>
      </c>
      <c r="J72" s="5">
        <v>18.07</v>
      </c>
      <c r="K72" s="5">
        <v>6</v>
      </c>
      <c r="L72" s="5">
        <v>2</v>
      </c>
      <c r="M72" s="5">
        <v>2.25</v>
      </c>
      <c r="N72" s="5">
        <f t="shared" si="14"/>
        <v>2.125</v>
      </c>
      <c r="O72" s="5">
        <f t="shared" si="15"/>
        <v>3.875</v>
      </c>
      <c r="P72" s="3">
        <f>IF(COUNTIFS(rating_events!$B$2:$B$13,C72,rating_events!$D$2:$D$13,"rating_upgrade")&gt;0,1,0)</f>
        <v>0</v>
      </c>
      <c r="Q72" s="3">
        <f>IF(COUNTIFS(rating_events!$B$2:$B$13,C72,rating_events!$D$2:$D$13,"rating_downgrade")&gt;0,1,0)</f>
        <v>0</v>
      </c>
      <c r="R72" s="3">
        <f>IF(COUNTIFS(rating_events!$B$2:$B$13,C72,rating_events!$D$2:$D$13,"outlook_improvement")&gt;0,1,0)</f>
        <v>0</v>
      </c>
      <c r="S72" s="3">
        <f>IF(COUNTIFS(rating_events!$B$2:$B$13,C72,rating_events!$D$2:$D$13,"outlook_deterioration")&gt;0,1,0)</f>
        <v>0</v>
      </c>
      <c r="T72" s="5">
        <v>14.851700000000001</v>
      </c>
      <c r="U72" s="5">
        <v>16.901799999999998</v>
      </c>
      <c r="V72" s="3">
        <v>1</v>
      </c>
      <c r="W72" s="3">
        <v>0</v>
      </c>
      <c r="X72" s="3">
        <f t="shared" si="16"/>
        <v>1</v>
      </c>
      <c r="Y72" s="3">
        <f t="shared" si="17"/>
        <v>1</v>
      </c>
    </row>
    <row r="73" spans="1:25" ht="18" customHeight="1">
      <c r="A73" s="3">
        <v>2018</v>
      </c>
      <c r="B73" s="3">
        <v>12</v>
      </c>
      <c r="C73" s="3">
        <f t="shared" si="12"/>
        <v>707</v>
      </c>
      <c r="D73" s="4">
        <v>14390</v>
      </c>
      <c r="E73" s="5">
        <f t="shared" si="13"/>
        <v>-1.0748999999999995</v>
      </c>
      <c r="F73" s="5">
        <f>IF(COUNT(flow_components!C73:E73)=3,SUM(flow_components!C73:E73),"")</f>
        <v>-12.429917667999998</v>
      </c>
      <c r="G73" s="5">
        <v>114.20446</v>
      </c>
      <c r="H73" s="5">
        <v>96.173000000000002</v>
      </c>
      <c r="I73" s="5">
        <v>2.6842000000000001</v>
      </c>
      <c r="J73" s="5">
        <v>25.42</v>
      </c>
      <c r="K73" s="5">
        <v>6</v>
      </c>
      <c r="L73" s="5">
        <v>2.25</v>
      </c>
      <c r="M73" s="5">
        <v>2.5</v>
      </c>
      <c r="N73" s="5">
        <f t="shared" si="14"/>
        <v>2.375</v>
      </c>
      <c r="O73" s="5">
        <f t="shared" si="15"/>
        <v>3.625</v>
      </c>
      <c r="P73" s="3">
        <f>IF(COUNTIFS(rating_events!$B$2:$B$13,C73,rating_events!$D$2:$D$13,"rating_upgrade")&gt;0,1,0)</f>
        <v>0</v>
      </c>
      <c r="Q73" s="3">
        <f>IF(COUNTIFS(rating_events!$B$2:$B$13,C73,rating_events!$D$2:$D$13,"rating_downgrade")&gt;0,1,0)</f>
        <v>0</v>
      </c>
      <c r="R73" s="3">
        <f>IF(COUNTIFS(rating_events!$B$2:$B$13,C73,rating_events!$D$2:$D$13,"outlook_improvement")&gt;0,1,0)</f>
        <v>0</v>
      </c>
      <c r="S73" s="3">
        <f>IF(COUNTIFS(rating_events!$B$2:$B$13,C73,rating_events!$D$2:$D$13,"outlook_deterioration")&gt;0,1,0)</f>
        <v>0</v>
      </c>
      <c r="T73" s="5">
        <v>14.290100000000001</v>
      </c>
      <c r="U73" s="5">
        <v>15.365</v>
      </c>
      <c r="V73" s="3">
        <v>1</v>
      </c>
      <c r="W73" s="3">
        <v>0</v>
      </c>
      <c r="X73" s="3">
        <f t="shared" si="16"/>
        <v>1</v>
      </c>
      <c r="Y73" s="3">
        <f t="shared" si="17"/>
        <v>1</v>
      </c>
    </row>
    <row r="74" spans="1:25" ht="18" customHeight="1">
      <c r="A74" s="3">
        <v>2019</v>
      </c>
      <c r="B74" s="3">
        <v>1</v>
      </c>
      <c r="C74" s="3">
        <f t="shared" si="12"/>
        <v>708</v>
      </c>
      <c r="D74" s="4">
        <v>13973</v>
      </c>
      <c r="E74" s="5">
        <f t="shared" si="13"/>
        <v>-0.97710000000000008</v>
      </c>
      <c r="F74" s="5">
        <f>IF(COUNT(flow_components!C74:E74)=3,SUM(flow_components!C74:E74),"")</f>
        <v>30.274923152999996</v>
      </c>
      <c r="G74" s="5">
        <v>113.51758</v>
      </c>
      <c r="H74" s="5">
        <v>95.578000000000003</v>
      </c>
      <c r="I74" s="5">
        <v>2.6293000000000002</v>
      </c>
      <c r="J74" s="5">
        <v>16.57</v>
      </c>
      <c r="K74" s="5">
        <v>6</v>
      </c>
      <c r="L74" s="5">
        <v>2.25</v>
      </c>
      <c r="M74" s="5">
        <v>2.5</v>
      </c>
      <c r="N74" s="5">
        <f t="shared" si="14"/>
        <v>2.375</v>
      </c>
      <c r="O74" s="5">
        <f t="shared" si="15"/>
        <v>3.625</v>
      </c>
      <c r="P74" s="3">
        <f>IF(COUNTIFS(rating_events!$B$2:$B$13,C74,rating_events!$D$2:$D$13,"rating_upgrade")&gt;0,1,0)</f>
        <v>0</v>
      </c>
      <c r="Q74" s="3">
        <f>IF(COUNTIFS(rating_events!$B$2:$B$13,C74,rating_events!$D$2:$D$13,"rating_downgrade")&gt;0,1,0)</f>
        <v>0</v>
      </c>
      <c r="R74" s="3">
        <f>IF(COUNTIFS(rating_events!$B$2:$B$13,C74,rating_events!$D$2:$D$13,"outlook_improvement")&gt;0,1,0)</f>
        <v>0</v>
      </c>
      <c r="S74" s="3">
        <f>IF(COUNTIFS(rating_events!$B$2:$B$13,C74,rating_events!$D$2:$D$13,"outlook_deterioration")&gt;0,1,0)</f>
        <v>0</v>
      </c>
      <c r="T74" s="5">
        <v>14.0281</v>
      </c>
      <c r="U74" s="5">
        <v>15.0052</v>
      </c>
      <c r="V74" s="3">
        <v>1</v>
      </c>
      <c r="W74" s="3">
        <v>0</v>
      </c>
      <c r="X74" s="3">
        <f t="shared" si="16"/>
        <v>1</v>
      </c>
      <c r="Y74" s="3">
        <f t="shared" si="17"/>
        <v>1</v>
      </c>
    </row>
    <row r="75" spans="1:25" ht="18" customHeight="1">
      <c r="A75" s="3">
        <v>2019</v>
      </c>
      <c r="B75" s="3">
        <v>2</v>
      </c>
      <c r="C75" s="3">
        <f t="shared" si="12"/>
        <v>709</v>
      </c>
      <c r="D75" s="4">
        <v>14069</v>
      </c>
      <c r="E75" s="5">
        <f t="shared" si="13"/>
        <v>0.32350000000000101</v>
      </c>
      <c r="F75" s="5">
        <f>IF(COUNT(flow_components!C75:E75)=3,SUM(flow_components!C75:E75),"")</f>
        <v>24.892807237000003</v>
      </c>
      <c r="G75" s="5">
        <v>116.65468</v>
      </c>
      <c r="H75" s="5">
        <v>96.156999999999996</v>
      </c>
      <c r="I75" s="5">
        <v>2.7149999999999999</v>
      </c>
      <c r="J75" s="5">
        <v>14.78</v>
      </c>
      <c r="K75" s="5">
        <v>6</v>
      </c>
      <c r="L75" s="5">
        <v>2.25</v>
      </c>
      <c r="M75" s="5">
        <v>2.5</v>
      </c>
      <c r="N75" s="5">
        <f t="shared" si="14"/>
        <v>2.375</v>
      </c>
      <c r="O75" s="5">
        <f t="shared" si="15"/>
        <v>3.625</v>
      </c>
      <c r="P75" s="3">
        <f>IF(COUNTIFS(rating_events!$B$2:$B$13,C75,rating_events!$D$2:$D$13,"rating_upgrade")&gt;0,1,0)</f>
        <v>0</v>
      </c>
      <c r="Q75" s="3">
        <f>IF(COUNTIFS(rating_events!$B$2:$B$13,C75,rating_events!$D$2:$D$13,"rating_downgrade")&gt;0,1,0)</f>
        <v>0</v>
      </c>
      <c r="R75" s="3">
        <f>IF(COUNTIFS(rating_events!$B$2:$B$13,C75,rating_events!$D$2:$D$13,"outlook_improvement")&gt;0,1,0)</f>
        <v>0</v>
      </c>
      <c r="S75" s="3">
        <f>IF(COUNTIFS(rating_events!$B$2:$B$13,C75,rating_events!$D$2:$D$13,"outlook_deterioration")&gt;0,1,0)</f>
        <v>0</v>
      </c>
      <c r="T75" s="5">
        <v>12.788600000000001</v>
      </c>
      <c r="U75" s="5">
        <v>12.4651</v>
      </c>
      <c r="V75" s="3">
        <v>1</v>
      </c>
      <c r="W75" s="3">
        <v>0</v>
      </c>
      <c r="X75" s="3">
        <f t="shared" si="16"/>
        <v>1</v>
      </c>
      <c r="Y75" s="3">
        <f t="shared" si="17"/>
        <v>1</v>
      </c>
    </row>
    <row r="76" spans="1:25" ht="18" customHeight="1">
      <c r="A76" s="3">
        <v>2019</v>
      </c>
      <c r="B76" s="3">
        <v>3</v>
      </c>
      <c r="C76" s="3">
        <f t="shared" si="12"/>
        <v>710</v>
      </c>
      <c r="D76" s="4">
        <v>14241</v>
      </c>
      <c r="E76" s="5">
        <f t="shared" si="13"/>
        <v>0.70119999999999827</v>
      </c>
      <c r="F76" s="5">
        <f>IF(COUNT(flow_components!C76:E76)=3,SUM(flow_components!C76:E76),"")</f>
        <v>26.783393619999995</v>
      </c>
      <c r="G76" s="5">
        <v>117.98548</v>
      </c>
      <c r="H76" s="5">
        <v>97.284000000000006</v>
      </c>
      <c r="I76" s="5">
        <v>2.4049999999999998</v>
      </c>
      <c r="J76" s="5">
        <v>13.71</v>
      </c>
      <c r="K76" s="5">
        <v>6</v>
      </c>
      <c r="L76" s="5">
        <v>2.25</v>
      </c>
      <c r="M76" s="5">
        <v>2.5</v>
      </c>
      <c r="N76" s="5">
        <f t="shared" si="14"/>
        <v>2.375</v>
      </c>
      <c r="O76" s="5">
        <f t="shared" si="15"/>
        <v>3.625</v>
      </c>
      <c r="P76" s="3">
        <f>IF(COUNTIFS(rating_events!$B$2:$B$13,C76,rating_events!$D$2:$D$13,"rating_upgrade")&gt;0,1,0)</f>
        <v>0</v>
      </c>
      <c r="Q76" s="3">
        <f>IF(COUNTIFS(rating_events!$B$2:$B$13,C76,rating_events!$D$2:$D$13,"rating_downgrade")&gt;0,1,0)</f>
        <v>0</v>
      </c>
      <c r="R76" s="3">
        <f>IF(COUNTIFS(rating_events!$B$2:$B$13,C76,rating_events!$D$2:$D$13,"outlook_improvement")&gt;0,1,0)</f>
        <v>0</v>
      </c>
      <c r="S76" s="3">
        <f>IF(COUNTIFS(rating_events!$B$2:$B$13,C76,rating_events!$D$2:$D$13,"outlook_deterioration")&gt;0,1,0)</f>
        <v>0</v>
      </c>
      <c r="T76" s="5">
        <v>14.447799999999999</v>
      </c>
      <c r="U76" s="5">
        <v>13.746600000000001</v>
      </c>
      <c r="V76" s="3">
        <v>1</v>
      </c>
      <c r="W76" s="3">
        <v>0</v>
      </c>
      <c r="X76" s="3">
        <f t="shared" si="16"/>
        <v>1</v>
      </c>
      <c r="Y76" s="3">
        <f t="shared" si="17"/>
        <v>1</v>
      </c>
    </row>
    <row r="77" spans="1:25" ht="18" customHeight="1">
      <c r="A77" s="3">
        <v>2019</v>
      </c>
      <c r="B77" s="3">
        <v>4</v>
      </c>
      <c r="C77" s="3">
        <f t="shared" si="12"/>
        <v>711</v>
      </c>
      <c r="D77" s="4">
        <v>14259</v>
      </c>
      <c r="E77" s="5">
        <f t="shared" si="13"/>
        <v>-2.3310999999999993</v>
      </c>
      <c r="F77" s="5">
        <f>IF(COUNT(flow_components!C77:E77)=3,SUM(flow_components!C77:E77),"")</f>
        <v>45.808812826000008</v>
      </c>
      <c r="G77" s="5">
        <v>117.79049000000001</v>
      </c>
      <c r="H77" s="5">
        <v>97.478999999999999</v>
      </c>
      <c r="I77" s="5">
        <v>2.5017999999999998</v>
      </c>
      <c r="J77" s="5">
        <v>13.12</v>
      </c>
      <c r="K77" s="5">
        <v>6</v>
      </c>
      <c r="L77" s="5">
        <v>2.25</v>
      </c>
      <c r="M77" s="5">
        <v>2.5</v>
      </c>
      <c r="N77" s="5">
        <f t="shared" si="14"/>
        <v>2.375</v>
      </c>
      <c r="O77" s="5">
        <f t="shared" si="15"/>
        <v>3.625</v>
      </c>
      <c r="P77" s="3">
        <f>IF(COUNTIFS(rating_events!$B$2:$B$13,C77,rating_events!$D$2:$D$13,"rating_upgrade")&gt;0,1,0)</f>
        <v>0</v>
      </c>
      <c r="Q77" s="3">
        <f>IF(COUNTIFS(rating_events!$B$2:$B$13,C77,rating_events!$D$2:$D$13,"rating_downgrade")&gt;0,1,0)</f>
        <v>0</v>
      </c>
      <c r="R77" s="3">
        <f>IF(COUNTIFS(rating_events!$B$2:$B$13,C77,rating_events!$D$2:$D$13,"outlook_improvement")&gt;0,1,0)</f>
        <v>0</v>
      </c>
      <c r="S77" s="3">
        <f>IF(COUNTIFS(rating_events!$B$2:$B$13,C77,rating_events!$D$2:$D$13,"outlook_deterioration")&gt;0,1,0)</f>
        <v>0</v>
      </c>
      <c r="T77" s="5">
        <v>13.068100000000001</v>
      </c>
      <c r="U77" s="5">
        <v>15.3992</v>
      </c>
      <c r="V77" s="3">
        <v>1</v>
      </c>
      <c r="W77" s="3">
        <v>0</v>
      </c>
      <c r="X77" s="3">
        <f t="shared" si="16"/>
        <v>1</v>
      </c>
      <c r="Y77" s="3">
        <f t="shared" si="17"/>
        <v>1</v>
      </c>
    </row>
    <row r="78" spans="1:25" ht="18" customHeight="1">
      <c r="A78" s="3">
        <v>2019</v>
      </c>
      <c r="B78" s="3">
        <v>5</v>
      </c>
      <c r="C78" s="3">
        <f t="shared" si="12"/>
        <v>712</v>
      </c>
      <c r="D78" s="4">
        <v>14273</v>
      </c>
      <c r="E78" s="5">
        <f t="shared" si="13"/>
        <v>0.14519999999999911</v>
      </c>
      <c r="F78" s="5">
        <f>IF(COUNT(flow_components!C78:E78)=3,SUM(flow_components!C78:E78),"")</f>
        <v>-17.663250710000003</v>
      </c>
      <c r="G78" s="5">
        <v>113.88482</v>
      </c>
      <c r="H78" s="5">
        <v>97.75</v>
      </c>
      <c r="I78" s="5">
        <v>2.1246</v>
      </c>
      <c r="J78" s="5">
        <v>18.71</v>
      </c>
      <c r="K78" s="5">
        <v>6</v>
      </c>
      <c r="L78" s="5">
        <v>2.25</v>
      </c>
      <c r="M78" s="5">
        <v>2.5</v>
      </c>
      <c r="N78" s="5">
        <f t="shared" si="14"/>
        <v>2.375</v>
      </c>
      <c r="O78" s="5">
        <f t="shared" si="15"/>
        <v>3.625</v>
      </c>
      <c r="P78" s="3">
        <f>IF(COUNTIFS(rating_events!$B$2:$B$13,C78,rating_events!$D$2:$D$13,"rating_upgrade")&gt;0,1,0)</f>
        <v>1</v>
      </c>
      <c r="Q78" s="3">
        <f>IF(COUNTIFS(rating_events!$B$2:$B$13,C78,rating_events!$D$2:$D$13,"rating_downgrade")&gt;0,1,0)</f>
        <v>0</v>
      </c>
      <c r="R78" s="3">
        <f>IF(COUNTIFS(rating_events!$B$2:$B$13,C78,rating_events!$D$2:$D$13,"outlook_improvement")&gt;0,1,0)</f>
        <v>0</v>
      </c>
      <c r="S78" s="3">
        <f>IF(COUNTIFS(rating_events!$B$2:$B$13,C78,rating_events!$D$2:$D$13,"outlook_deterioration")&gt;0,1,0)</f>
        <v>0</v>
      </c>
      <c r="T78" s="5">
        <v>14.751899999999999</v>
      </c>
      <c r="U78" s="5">
        <v>14.6067</v>
      </c>
      <c r="V78" s="3">
        <v>1</v>
      </c>
      <c r="W78" s="3">
        <v>0</v>
      </c>
      <c r="X78" s="3">
        <f t="shared" si="16"/>
        <v>1</v>
      </c>
      <c r="Y78" s="3">
        <f t="shared" si="17"/>
        <v>1</v>
      </c>
    </row>
    <row r="79" spans="1:25" ht="18" customHeight="1">
      <c r="A79" s="3">
        <v>2019</v>
      </c>
      <c r="B79" s="3">
        <v>6</v>
      </c>
      <c r="C79" s="3">
        <f t="shared" si="12"/>
        <v>713</v>
      </c>
      <c r="D79" s="4">
        <v>14128</v>
      </c>
      <c r="E79" s="5">
        <f t="shared" si="13"/>
        <v>0.26799999999999891</v>
      </c>
      <c r="F79" s="5">
        <f>IF(COUNT(flow_components!C79:E79)=3,SUM(flow_components!C79:E79),"")</f>
        <v>50.149395071000015</v>
      </c>
      <c r="G79" s="5">
        <v>117.03141599999999</v>
      </c>
      <c r="H79" s="5">
        <v>96.13</v>
      </c>
      <c r="I79" s="5">
        <v>2.0051000000000001</v>
      </c>
      <c r="J79" s="5">
        <v>15.08</v>
      </c>
      <c r="K79" s="5">
        <v>6</v>
      </c>
      <c r="L79" s="5">
        <v>2.25</v>
      </c>
      <c r="M79" s="5">
        <v>2.5</v>
      </c>
      <c r="N79" s="5">
        <f t="shared" si="14"/>
        <v>2.375</v>
      </c>
      <c r="O79" s="5">
        <f t="shared" si="15"/>
        <v>3.625</v>
      </c>
      <c r="P79" s="3">
        <f>IF(COUNTIFS(rating_events!$B$2:$B$13,C79,rating_events!$D$2:$D$13,"rating_upgrade")&gt;0,1,0)</f>
        <v>0</v>
      </c>
      <c r="Q79" s="3">
        <f>IF(COUNTIFS(rating_events!$B$2:$B$13,C79,rating_events!$D$2:$D$13,"rating_downgrade")&gt;0,1,0)</f>
        <v>0</v>
      </c>
      <c r="R79" s="3">
        <f>IF(COUNTIFS(rating_events!$B$2:$B$13,C79,rating_events!$D$2:$D$13,"outlook_improvement")&gt;0,1,0)</f>
        <v>0</v>
      </c>
      <c r="S79" s="3">
        <f>IF(COUNTIFS(rating_events!$B$2:$B$13,C79,rating_events!$D$2:$D$13,"outlook_deterioration")&gt;0,1,0)</f>
        <v>0</v>
      </c>
      <c r="T79" s="5">
        <v>11.763399999999999</v>
      </c>
      <c r="U79" s="5">
        <v>11.4954</v>
      </c>
      <c r="V79" s="3">
        <v>1</v>
      </c>
      <c r="W79" s="3">
        <v>0</v>
      </c>
      <c r="X79" s="3">
        <f t="shared" si="16"/>
        <v>1</v>
      </c>
      <c r="Y79" s="3">
        <f t="shared" si="17"/>
        <v>1</v>
      </c>
    </row>
    <row r="80" spans="1:25" ht="18" customHeight="1">
      <c r="A80" s="3">
        <v>2019</v>
      </c>
      <c r="B80" s="3">
        <v>7</v>
      </c>
      <c r="C80" s="3">
        <f t="shared" si="12"/>
        <v>714</v>
      </c>
      <c r="D80" s="4">
        <v>14022</v>
      </c>
      <c r="E80" s="5">
        <f t="shared" si="13"/>
        <v>-0.28009999999999913</v>
      </c>
      <c r="F80" s="5">
        <f>IF(COUNT(flow_components!C80:E80)=3,SUM(flow_components!C80:E80),"")</f>
        <v>24.033718864999997</v>
      </c>
      <c r="G80" s="5">
        <v>119.07692</v>
      </c>
      <c r="H80" s="5">
        <v>98.516000000000005</v>
      </c>
      <c r="I80" s="5">
        <v>2.0144000000000002</v>
      </c>
      <c r="J80" s="5">
        <v>16.12</v>
      </c>
      <c r="K80" s="5">
        <v>5.75</v>
      </c>
      <c r="L80" s="5">
        <v>2.25</v>
      </c>
      <c r="M80" s="5">
        <v>2.5</v>
      </c>
      <c r="N80" s="5">
        <f t="shared" si="14"/>
        <v>2.375</v>
      </c>
      <c r="O80" s="5">
        <f t="shared" si="15"/>
        <v>3.375</v>
      </c>
      <c r="P80" s="3">
        <f>IF(COUNTIFS(rating_events!$B$2:$B$13,C80,rating_events!$D$2:$D$13,"rating_upgrade")&gt;0,1,0)</f>
        <v>0</v>
      </c>
      <c r="Q80" s="3">
        <f>IF(COUNTIFS(rating_events!$B$2:$B$13,C80,rating_events!$D$2:$D$13,"rating_downgrade")&gt;0,1,0)</f>
        <v>0</v>
      </c>
      <c r="R80" s="3">
        <f>IF(COUNTIFS(rating_events!$B$2:$B$13,C80,rating_events!$D$2:$D$13,"outlook_improvement")&gt;0,1,0)</f>
        <v>0</v>
      </c>
      <c r="S80" s="3">
        <f>IF(COUNTIFS(rating_events!$B$2:$B$13,C80,rating_events!$D$2:$D$13,"outlook_deterioration")&gt;0,1,0)</f>
        <v>0</v>
      </c>
      <c r="T80" s="5">
        <v>15.2384</v>
      </c>
      <c r="U80" s="5">
        <v>15.5185</v>
      </c>
      <c r="V80" s="3">
        <v>1</v>
      </c>
      <c r="W80" s="3">
        <v>0</v>
      </c>
      <c r="X80" s="3">
        <f t="shared" si="16"/>
        <v>1</v>
      </c>
      <c r="Y80" s="3">
        <f t="shared" si="17"/>
        <v>1</v>
      </c>
    </row>
    <row r="81" spans="1:25" ht="18" customHeight="1">
      <c r="A81" s="3">
        <v>2019</v>
      </c>
      <c r="B81" s="3">
        <v>8</v>
      </c>
      <c r="C81" s="3">
        <f t="shared" si="12"/>
        <v>715</v>
      </c>
      <c r="D81" s="4">
        <v>14191</v>
      </c>
      <c r="E81" s="5">
        <f t="shared" si="13"/>
        <v>9.2600000000000904E-2</v>
      </c>
      <c r="F81" s="5">
        <f>IF(COUNT(flow_components!C81:E81)=3,SUM(flow_components!C81:E81),"")</f>
        <v>-12.731703155999998</v>
      </c>
      <c r="G81" s="5">
        <v>119.32268000000001</v>
      </c>
      <c r="H81" s="5">
        <v>98.915999999999997</v>
      </c>
      <c r="I81" s="5">
        <v>1.4961</v>
      </c>
      <c r="J81" s="5">
        <v>18.98</v>
      </c>
      <c r="K81" s="5">
        <v>5.5</v>
      </c>
      <c r="L81" s="5">
        <v>2</v>
      </c>
      <c r="M81" s="5">
        <v>2.25</v>
      </c>
      <c r="N81" s="5">
        <f t="shared" si="14"/>
        <v>2.125</v>
      </c>
      <c r="O81" s="5">
        <f t="shared" si="15"/>
        <v>3.375</v>
      </c>
      <c r="P81" s="3">
        <f>IF(COUNTIFS(rating_events!$B$2:$B$13,C81,rating_events!$D$2:$D$13,"rating_upgrade")&gt;0,1,0)</f>
        <v>0</v>
      </c>
      <c r="Q81" s="3">
        <f>IF(COUNTIFS(rating_events!$B$2:$B$13,C81,rating_events!$D$2:$D$13,"rating_downgrade")&gt;0,1,0)</f>
        <v>0</v>
      </c>
      <c r="R81" s="3">
        <f>IF(COUNTIFS(rating_events!$B$2:$B$13,C81,rating_events!$D$2:$D$13,"outlook_improvement")&gt;0,1,0)</f>
        <v>0</v>
      </c>
      <c r="S81" s="3">
        <f>IF(COUNTIFS(rating_events!$B$2:$B$13,C81,rating_events!$D$2:$D$13,"outlook_deterioration")&gt;0,1,0)</f>
        <v>0</v>
      </c>
      <c r="T81" s="5">
        <v>14.262</v>
      </c>
      <c r="U81" s="5">
        <v>14.1694</v>
      </c>
      <c r="V81" s="3">
        <v>1</v>
      </c>
      <c r="W81" s="3">
        <v>0</v>
      </c>
      <c r="X81" s="3">
        <f t="shared" si="16"/>
        <v>1</v>
      </c>
      <c r="Y81" s="3">
        <f t="shared" si="17"/>
        <v>1</v>
      </c>
    </row>
    <row r="82" spans="1:25" ht="18" customHeight="1">
      <c r="A82" s="3">
        <v>2019</v>
      </c>
      <c r="B82" s="3">
        <v>9</v>
      </c>
      <c r="C82" s="3">
        <f t="shared" si="12"/>
        <v>716</v>
      </c>
      <c r="D82" s="4">
        <v>14195</v>
      </c>
      <c r="E82" s="5">
        <f t="shared" si="13"/>
        <v>-0.18329999999999913</v>
      </c>
      <c r="F82" s="5">
        <f>IF(COUNT(flow_components!C82:E82)=3,SUM(flow_components!C82:E82),"")</f>
        <v>12.474372138999996</v>
      </c>
      <c r="G82" s="5">
        <v>117.351116</v>
      </c>
      <c r="H82" s="5">
        <v>99.376999999999995</v>
      </c>
      <c r="I82" s="5">
        <v>1.6646000000000001</v>
      </c>
      <c r="J82" s="5">
        <v>16.239999999999998</v>
      </c>
      <c r="K82" s="5">
        <v>5.25</v>
      </c>
      <c r="L82" s="5">
        <v>1.75</v>
      </c>
      <c r="M82" s="5">
        <v>2</v>
      </c>
      <c r="N82" s="5">
        <f t="shared" si="14"/>
        <v>1.875</v>
      </c>
      <c r="O82" s="5">
        <f t="shared" si="15"/>
        <v>3.375</v>
      </c>
      <c r="P82" s="3">
        <f>IF(COUNTIFS(rating_events!$B$2:$B$13,C82,rating_events!$D$2:$D$13,"rating_upgrade")&gt;0,1,0)</f>
        <v>0</v>
      </c>
      <c r="Q82" s="3">
        <f>IF(COUNTIFS(rating_events!$B$2:$B$13,C82,rating_events!$D$2:$D$13,"rating_downgrade")&gt;0,1,0)</f>
        <v>0</v>
      </c>
      <c r="R82" s="3">
        <f>IF(COUNTIFS(rating_events!$B$2:$B$13,C82,rating_events!$D$2:$D$13,"outlook_improvement")&gt;0,1,0)</f>
        <v>0</v>
      </c>
      <c r="S82" s="3">
        <f>IF(COUNTIFS(rating_events!$B$2:$B$13,C82,rating_events!$D$2:$D$13,"outlook_deterioration")&gt;0,1,0)</f>
        <v>0</v>
      </c>
      <c r="T82" s="5">
        <v>14.0801</v>
      </c>
      <c r="U82" s="5">
        <v>14.263399999999999</v>
      </c>
      <c r="V82" s="3">
        <v>1</v>
      </c>
      <c r="W82" s="3">
        <v>0</v>
      </c>
      <c r="X82" s="3">
        <f t="shared" si="16"/>
        <v>1</v>
      </c>
      <c r="Y82" s="3">
        <f t="shared" si="17"/>
        <v>1</v>
      </c>
    </row>
    <row r="83" spans="1:25" ht="18" customHeight="1">
      <c r="A83" s="3">
        <v>2019</v>
      </c>
      <c r="B83" s="3">
        <v>10</v>
      </c>
      <c r="C83" s="3">
        <f t="shared" si="12"/>
        <v>717</v>
      </c>
      <c r="D83" s="4">
        <v>14041</v>
      </c>
      <c r="E83" s="5">
        <f t="shared" si="13"/>
        <v>0.12240000000000073</v>
      </c>
      <c r="F83" s="5">
        <f>IF(COUNT(flow_components!C83:E83)=3,SUM(flow_components!C83:E83),"")</f>
        <v>25.282921428000002</v>
      </c>
      <c r="G83" s="5">
        <v>119.66448</v>
      </c>
      <c r="H83" s="5">
        <v>97.352000000000004</v>
      </c>
      <c r="I83" s="5">
        <v>1.6910000000000001</v>
      </c>
      <c r="J83" s="5">
        <v>13.22</v>
      </c>
      <c r="K83" s="5">
        <v>5</v>
      </c>
      <c r="L83" s="5">
        <v>1.5</v>
      </c>
      <c r="M83" s="5">
        <v>1.75</v>
      </c>
      <c r="N83" s="5">
        <f t="shared" si="14"/>
        <v>1.625</v>
      </c>
      <c r="O83" s="5">
        <f t="shared" si="15"/>
        <v>3.375</v>
      </c>
      <c r="P83" s="3">
        <f>IF(COUNTIFS(rating_events!$B$2:$B$13,C83,rating_events!$D$2:$D$13,"rating_upgrade")&gt;0,1,0)</f>
        <v>0</v>
      </c>
      <c r="Q83" s="3">
        <f>IF(COUNTIFS(rating_events!$B$2:$B$13,C83,rating_events!$D$2:$D$13,"rating_downgrade")&gt;0,1,0)</f>
        <v>0</v>
      </c>
      <c r="R83" s="3">
        <f>IF(COUNTIFS(rating_events!$B$2:$B$13,C83,rating_events!$D$2:$D$13,"outlook_improvement")&gt;0,1,0)</f>
        <v>0</v>
      </c>
      <c r="S83" s="3">
        <f>IF(COUNTIFS(rating_events!$B$2:$B$13,C83,rating_events!$D$2:$D$13,"outlook_deterioration")&gt;0,1,0)</f>
        <v>0</v>
      </c>
      <c r="T83" s="5">
        <v>14.881500000000001</v>
      </c>
      <c r="U83" s="5">
        <v>14.7591</v>
      </c>
      <c r="V83" s="3">
        <v>1</v>
      </c>
      <c r="W83" s="3">
        <v>0</v>
      </c>
      <c r="X83" s="3">
        <f t="shared" si="16"/>
        <v>1</v>
      </c>
      <c r="Y83" s="3">
        <f t="shared" si="17"/>
        <v>1</v>
      </c>
    </row>
    <row r="84" spans="1:25" ht="18" customHeight="1">
      <c r="A84" s="3">
        <v>2019</v>
      </c>
      <c r="B84" s="3">
        <v>11</v>
      </c>
      <c r="C84" s="3">
        <f t="shared" si="12"/>
        <v>718</v>
      </c>
      <c r="D84" s="4">
        <v>14108</v>
      </c>
      <c r="E84" s="5">
        <f t="shared" si="13"/>
        <v>-1.3960000000000008</v>
      </c>
      <c r="F84" s="5">
        <f>IF(COUNT(flow_components!C84:E84)=3,SUM(flow_components!C84:E84),"")</f>
        <v>2.404251770000001</v>
      </c>
      <c r="G84" s="5">
        <v>119.71579</v>
      </c>
      <c r="H84" s="5">
        <v>98.272999999999996</v>
      </c>
      <c r="I84" s="5">
        <v>1.7758</v>
      </c>
      <c r="J84" s="5">
        <v>12.62</v>
      </c>
      <c r="K84" s="5">
        <v>5</v>
      </c>
      <c r="L84" s="5">
        <v>1.5</v>
      </c>
      <c r="M84" s="5">
        <v>1.75</v>
      </c>
      <c r="N84" s="5">
        <f t="shared" si="14"/>
        <v>1.625</v>
      </c>
      <c r="O84" s="5">
        <f t="shared" si="15"/>
        <v>3.375</v>
      </c>
      <c r="P84" s="3">
        <f>IF(COUNTIFS(rating_events!$B$2:$B$13,C84,rating_events!$D$2:$D$13,"rating_upgrade")&gt;0,1,0)</f>
        <v>0</v>
      </c>
      <c r="Q84" s="3">
        <f>IF(COUNTIFS(rating_events!$B$2:$B$13,C84,rating_events!$D$2:$D$13,"rating_downgrade")&gt;0,1,0)</f>
        <v>0</v>
      </c>
      <c r="R84" s="3">
        <f>IF(COUNTIFS(rating_events!$B$2:$B$13,C84,rating_events!$D$2:$D$13,"outlook_improvement")&gt;0,1,0)</f>
        <v>0</v>
      </c>
      <c r="S84" s="3">
        <f>IF(COUNTIFS(rating_events!$B$2:$B$13,C84,rating_events!$D$2:$D$13,"outlook_deterioration")&gt;0,1,0)</f>
        <v>0</v>
      </c>
      <c r="T84" s="5">
        <v>13.9445</v>
      </c>
      <c r="U84" s="5">
        <v>15.3405</v>
      </c>
      <c r="V84" s="3">
        <v>1</v>
      </c>
      <c r="W84" s="3">
        <v>0</v>
      </c>
      <c r="X84" s="3">
        <f t="shared" si="16"/>
        <v>1</v>
      </c>
      <c r="Y84" s="3">
        <f t="shared" si="17"/>
        <v>1</v>
      </c>
    </row>
    <row r="85" spans="1:25" ht="18" customHeight="1">
      <c r="A85" s="3">
        <v>2019</v>
      </c>
      <c r="B85" s="3">
        <v>12</v>
      </c>
      <c r="C85" s="3">
        <f t="shared" si="12"/>
        <v>719</v>
      </c>
      <c r="D85" s="4">
        <v>13866</v>
      </c>
      <c r="E85" s="5">
        <f t="shared" si="13"/>
        <v>-7.800000000000118E-2</v>
      </c>
      <c r="F85" s="5">
        <f>IF(COUNT(flow_components!C85:E85)=3,SUM(flow_components!C85:E85),"")</f>
        <v>1.0462676790000005</v>
      </c>
      <c r="G85" s="5">
        <v>122.07443000000001</v>
      </c>
      <c r="H85" s="5">
        <v>96.388999999999996</v>
      </c>
      <c r="I85" s="5">
        <v>1.9175</v>
      </c>
      <c r="J85" s="5">
        <v>13.78</v>
      </c>
      <c r="K85" s="5">
        <v>5</v>
      </c>
      <c r="L85" s="5">
        <v>1.5</v>
      </c>
      <c r="M85" s="5">
        <v>1.75</v>
      </c>
      <c r="N85" s="5">
        <f t="shared" si="14"/>
        <v>1.625</v>
      </c>
      <c r="O85" s="5">
        <f t="shared" si="15"/>
        <v>3.375</v>
      </c>
      <c r="P85" s="3">
        <f>IF(COUNTIFS(rating_events!$B$2:$B$13,C85,rating_events!$D$2:$D$13,"rating_upgrade")&gt;0,1,0)</f>
        <v>0</v>
      </c>
      <c r="Q85" s="3">
        <f>IF(COUNTIFS(rating_events!$B$2:$B$13,C85,rating_events!$D$2:$D$13,"rating_downgrade")&gt;0,1,0)</f>
        <v>0</v>
      </c>
      <c r="R85" s="3">
        <f>IF(COUNTIFS(rating_events!$B$2:$B$13,C85,rating_events!$D$2:$D$13,"outlook_improvement")&gt;0,1,0)</f>
        <v>0</v>
      </c>
      <c r="S85" s="3">
        <f>IF(COUNTIFS(rating_events!$B$2:$B$13,C85,rating_events!$D$2:$D$13,"outlook_deterioration")&gt;0,1,0)</f>
        <v>0</v>
      </c>
      <c r="T85" s="5">
        <v>14.428799999999999</v>
      </c>
      <c r="U85" s="5">
        <v>14.5068</v>
      </c>
      <c r="V85" s="3">
        <v>1</v>
      </c>
      <c r="W85" s="3">
        <v>0</v>
      </c>
      <c r="X85" s="3">
        <f t="shared" si="16"/>
        <v>1</v>
      </c>
      <c r="Y85" s="3">
        <f t="shared" si="17"/>
        <v>1</v>
      </c>
    </row>
    <row r="86" spans="1:25" ht="18" customHeight="1">
      <c r="A86" s="3">
        <v>2020</v>
      </c>
      <c r="B86" s="3">
        <v>1</v>
      </c>
      <c r="C86" s="3">
        <f t="shared" si="12"/>
        <v>720</v>
      </c>
      <c r="D86" s="4">
        <v>13655</v>
      </c>
      <c r="E86" s="5">
        <f t="shared" si="13"/>
        <v>-0.63230000000000075</v>
      </c>
      <c r="F86" s="5">
        <f>IF(COUNT(flow_components!C86:E86)=3,SUM(flow_components!C86:E86),"")</f>
        <v>13.804184260000005</v>
      </c>
      <c r="G86" s="5">
        <v>124.48141</v>
      </c>
      <c r="H86" s="5">
        <v>97.39</v>
      </c>
      <c r="I86" s="5">
        <v>1.5067999999999999</v>
      </c>
      <c r="J86" s="5">
        <v>18.84</v>
      </c>
      <c r="K86" s="5">
        <v>5</v>
      </c>
      <c r="L86" s="5">
        <v>1.5</v>
      </c>
      <c r="M86" s="5">
        <v>1.75</v>
      </c>
      <c r="N86" s="5">
        <f t="shared" si="14"/>
        <v>1.625</v>
      </c>
      <c r="O86" s="5">
        <f t="shared" si="15"/>
        <v>3.375</v>
      </c>
      <c r="P86" s="3">
        <f>IF(COUNTIFS(rating_events!$B$2:$B$13,C86,rating_events!$D$2:$D$13,"rating_upgrade")&gt;0,1,0)</f>
        <v>0</v>
      </c>
      <c r="Q86" s="3">
        <f>IF(COUNTIFS(rating_events!$B$2:$B$13,C86,rating_events!$D$2:$D$13,"rating_downgrade")&gt;0,1,0)</f>
        <v>0</v>
      </c>
      <c r="R86" s="3">
        <f>IF(COUNTIFS(rating_events!$B$2:$B$13,C86,rating_events!$D$2:$D$13,"outlook_improvement")&gt;0,1,0)</f>
        <v>0</v>
      </c>
      <c r="S86" s="3">
        <f>IF(COUNTIFS(rating_events!$B$2:$B$13,C86,rating_events!$D$2:$D$13,"outlook_deterioration")&gt;0,1,0)</f>
        <v>0</v>
      </c>
      <c r="T86" s="5">
        <v>13.6364</v>
      </c>
      <c r="U86" s="5">
        <v>14.268700000000001</v>
      </c>
      <c r="V86" s="3">
        <v>1</v>
      </c>
      <c r="W86" s="3">
        <v>0</v>
      </c>
      <c r="X86" s="3">
        <f t="shared" si="16"/>
        <v>1</v>
      </c>
      <c r="Y86" s="3">
        <f t="shared" si="17"/>
        <v>1</v>
      </c>
    </row>
    <row r="87" spans="1:25" ht="18" customHeight="1">
      <c r="A87" s="3">
        <v>2020</v>
      </c>
      <c r="B87" s="3">
        <v>2</v>
      </c>
      <c r="C87" s="3">
        <f t="shared" si="12"/>
        <v>721</v>
      </c>
      <c r="D87" s="4">
        <v>14318</v>
      </c>
      <c r="E87" s="5">
        <f t="shared" si="13"/>
        <v>2.4939999999999998</v>
      </c>
      <c r="F87" s="5">
        <f>IF(COUNT(flow_components!C87:E87)=3,SUM(flow_components!C87:E87),"")</f>
        <v>-33.657309943000001</v>
      </c>
      <c r="G87" s="5">
        <v>123.04526</v>
      </c>
      <c r="H87" s="5">
        <v>98.132000000000005</v>
      </c>
      <c r="I87" s="5">
        <v>1.1486000000000001</v>
      </c>
      <c r="J87" s="5">
        <v>40.11</v>
      </c>
      <c r="K87" s="5">
        <v>4.75</v>
      </c>
      <c r="L87" s="5">
        <v>1.5</v>
      </c>
      <c r="M87" s="5">
        <v>1.75</v>
      </c>
      <c r="N87" s="5">
        <f t="shared" si="14"/>
        <v>1.625</v>
      </c>
      <c r="O87" s="5">
        <f t="shared" si="15"/>
        <v>3.125</v>
      </c>
      <c r="P87" s="3">
        <f>IF(COUNTIFS(rating_events!$B$2:$B$13,C87,rating_events!$D$2:$D$13,"rating_upgrade")&gt;0,1,0)</f>
        <v>0</v>
      </c>
      <c r="Q87" s="3">
        <f>IF(COUNTIFS(rating_events!$B$2:$B$13,C87,rating_events!$D$2:$D$13,"rating_downgrade")&gt;0,1,0)</f>
        <v>0</v>
      </c>
      <c r="R87" s="3">
        <f>IF(COUNTIFS(rating_events!$B$2:$B$13,C87,rating_events!$D$2:$D$13,"outlook_improvement")&gt;0,1,0)</f>
        <v>0</v>
      </c>
      <c r="S87" s="3">
        <f>IF(COUNTIFS(rating_events!$B$2:$B$13,C87,rating_events!$D$2:$D$13,"outlook_deterioration")&gt;0,1,0)</f>
        <v>0</v>
      </c>
      <c r="T87" s="5">
        <v>14.0421</v>
      </c>
      <c r="U87" s="5">
        <v>11.5481</v>
      </c>
      <c r="V87" s="3">
        <v>1</v>
      </c>
      <c r="W87" s="3">
        <v>0</v>
      </c>
      <c r="X87" s="3">
        <f t="shared" si="16"/>
        <v>1</v>
      </c>
      <c r="Y87" s="3">
        <f t="shared" si="17"/>
        <v>1</v>
      </c>
    </row>
    <row r="88" spans="1:25" ht="18" customHeight="1">
      <c r="A88" s="3">
        <v>2020</v>
      </c>
      <c r="B88" s="3">
        <v>3</v>
      </c>
      <c r="C88" s="3">
        <f t="shared" si="12"/>
        <v>722</v>
      </c>
      <c r="D88" s="4">
        <v>16310</v>
      </c>
      <c r="E88" s="5">
        <f t="shared" si="13"/>
        <v>0.67910000000000004</v>
      </c>
      <c r="F88" s="5">
        <f>IF(COUNT(flow_components!C88:E88)=3,SUM(flow_components!C88:E88),"")</f>
        <v>-120.02082633400002</v>
      </c>
      <c r="G88" s="5">
        <v>113.63375000000001</v>
      </c>
      <c r="H88" s="5">
        <v>99.048000000000002</v>
      </c>
      <c r="I88" s="5">
        <v>0.66949999999999998</v>
      </c>
      <c r="J88" s="5">
        <v>53.54</v>
      </c>
      <c r="K88" s="5">
        <v>4.5</v>
      </c>
      <c r="L88" s="5">
        <v>0</v>
      </c>
      <c r="M88" s="5">
        <v>0.25</v>
      </c>
      <c r="N88" s="5">
        <f t="shared" si="14"/>
        <v>0.125</v>
      </c>
      <c r="O88" s="5">
        <f t="shared" si="15"/>
        <v>4.375</v>
      </c>
      <c r="P88" s="3">
        <f>IF(COUNTIFS(rating_events!$B$2:$B$13,C88,rating_events!$D$2:$D$13,"rating_upgrade")&gt;0,1,0)</f>
        <v>0</v>
      </c>
      <c r="Q88" s="3">
        <f>IF(COUNTIFS(rating_events!$B$2:$B$13,C88,rating_events!$D$2:$D$13,"rating_downgrade")&gt;0,1,0)</f>
        <v>0</v>
      </c>
      <c r="R88" s="3">
        <f>IF(COUNTIFS(rating_events!$B$2:$B$13,C88,rating_events!$D$2:$D$13,"outlook_improvement")&gt;0,1,0)</f>
        <v>0</v>
      </c>
      <c r="S88" s="3">
        <f>IF(COUNTIFS(rating_events!$B$2:$B$13,C88,rating_events!$D$2:$D$13,"outlook_deterioration")&gt;0,1,0)</f>
        <v>0</v>
      </c>
      <c r="T88" s="5">
        <v>14.0313</v>
      </c>
      <c r="U88" s="5">
        <v>13.3522</v>
      </c>
      <c r="V88" s="3">
        <v>1</v>
      </c>
      <c r="W88" s="3">
        <v>0</v>
      </c>
      <c r="X88" s="3">
        <f t="shared" si="16"/>
        <v>1</v>
      </c>
      <c r="Y88" s="3">
        <f t="shared" si="17"/>
        <v>1</v>
      </c>
    </row>
    <row r="89" spans="1:25" ht="18" customHeight="1">
      <c r="A89" s="3">
        <v>2020</v>
      </c>
      <c r="B89" s="3">
        <v>4</v>
      </c>
      <c r="C89" s="3">
        <f t="shared" si="12"/>
        <v>723</v>
      </c>
      <c r="D89" s="4">
        <v>14882</v>
      </c>
      <c r="E89" s="5">
        <f t="shared" si="13"/>
        <v>-0.37540000000000262</v>
      </c>
      <c r="F89" s="5">
        <f>IF(COUNT(flow_components!C89:E89)=3,SUM(flow_components!C89:E89),"")</f>
        <v>-4.6371045709999965</v>
      </c>
      <c r="G89" s="5">
        <v>120.33846</v>
      </c>
      <c r="H89" s="5">
        <v>99.016000000000005</v>
      </c>
      <c r="I89" s="5">
        <v>0.63929999999999998</v>
      </c>
      <c r="J89" s="5">
        <v>34.15</v>
      </c>
      <c r="K89" s="5">
        <v>4.5</v>
      </c>
      <c r="L89" s="5">
        <v>0</v>
      </c>
      <c r="M89" s="5">
        <v>0.25</v>
      </c>
      <c r="N89" s="5">
        <f t="shared" si="14"/>
        <v>0.125</v>
      </c>
      <c r="O89" s="5">
        <f t="shared" si="15"/>
        <v>4.375</v>
      </c>
      <c r="P89" s="3">
        <f>IF(COUNTIFS(rating_events!$B$2:$B$13,C89,rating_events!$D$2:$D$13,"rating_upgrade")&gt;0,1,0)</f>
        <v>0</v>
      </c>
      <c r="Q89" s="3">
        <f>IF(COUNTIFS(rating_events!$B$2:$B$13,C89,rating_events!$D$2:$D$13,"rating_downgrade")&gt;0,1,0)</f>
        <v>0</v>
      </c>
      <c r="R89" s="3">
        <f>IF(COUNTIFS(rating_events!$B$2:$B$13,C89,rating_events!$D$2:$D$13,"outlook_improvement")&gt;0,1,0)</f>
        <v>0</v>
      </c>
      <c r="S89" s="3">
        <f>IF(COUNTIFS(rating_events!$B$2:$B$13,C89,rating_events!$D$2:$D$13,"outlook_deterioration")&gt;0,1,0)</f>
        <v>1</v>
      </c>
      <c r="T89" s="5">
        <v>12.159799999999999</v>
      </c>
      <c r="U89" s="5">
        <v>12.535200000000001</v>
      </c>
      <c r="V89" s="3">
        <v>1</v>
      </c>
      <c r="W89" s="3">
        <v>0</v>
      </c>
      <c r="X89" s="3">
        <f t="shared" si="16"/>
        <v>1</v>
      </c>
      <c r="Y89" s="3">
        <f t="shared" si="17"/>
        <v>1</v>
      </c>
    </row>
    <row r="90" spans="1:25" ht="18" customHeight="1">
      <c r="A90" s="3">
        <v>2020</v>
      </c>
      <c r="B90" s="3">
        <v>5</v>
      </c>
      <c r="C90" s="3">
        <f t="shared" si="12"/>
        <v>724</v>
      </c>
      <c r="D90" s="4">
        <v>14610</v>
      </c>
      <c r="E90" s="5">
        <f t="shared" si="13"/>
        <v>2.0139999999999993</v>
      </c>
      <c r="F90" s="5">
        <f>IF(COUNT(flow_components!C90:E90)=3,SUM(flow_components!C90:E90),"")</f>
        <v>17.001599937000002</v>
      </c>
      <c r="G90" s="5">
        <v>122.96002</v>
      </c>
      <c r="H90" s="5">
        <v>98.343999999999994</v>
      </c>
      <c r="I90" s="5">
        <v>0.65259999999999996</v>
      </c>
      <c r="J90" s="5">
        <v>27.51</v>
      </c>
      <c r="K90" s="5">
        <v>4.5</v>
      </c>
      <c r="L90" s="5">
        <v>0</v>
      </c>
      <c r="M90" s="5">
        <v>0.25</v>
      </c>
      <c r="N90" s="5">
        <f t="shared" si="14"/>
        <v>0.125</v>
      </c>
      <c r="O90" s="5">
        <f t="shared" si="15"/>
        <v>4.375</v>
      </c>
      <c r="P90" s="3">
        <f>IF(COUNTIFS(rating_events!$B$2:$B$13,C90,rating_events!$D$2:$D$13,"rating_upgrade")&gt;0,1,0)</f>
        <v>0</v>
      </c>
      <c r="Q90" s="3">
        <f>IF(COUNTIFS(rating_events!$B$2:$B$13,C90,rating_events!$D$2:$D$13,"rating_downgrade")&gt;0,1,0)</f>
        <v>0</v>
      </c>
      <c r="R90" s="3">
        <f>IF(COUNTIFS(rating_events!$B$2:$B$13,C90,rating_events!$D$2:$D$13,"outlook_improvement")&gt;0,1,0)</f>
        <v>0</v>
      </c>
      <c r="S90" s="3">
        <f>IF(COUNTIFS(rating_events!$B$2:$B$13,C90,rating_events!$D$2:$D$13,"outlook_deterioration")&gt;0,1,0)</f>
        <v>0</v>
      </c>
      <c r="T90" s="5">
        <v>10.4526</v>
      </c>
      <c r="U90" s="5">
        <v>8.438600000000001</v>
      </c>
      <c r="V90" s="3">
        <v>1</v>
      </c>
      <c r="W90" s="3">
        <v>0</v>
      </c>
      <c r="X90" s="3">
        <f t="shared" si="16"/>
        <v>1</v>
      </c>
      <c r="Y90" s="3">
        <f t="shared" si="17"/>
        <v>1</v>
      </c>
    </row>
    <row r="91" spans="1:25" ht="18" customHeight="1">
      <c r="A91" s="3">
        <v>2020</v>
      </c>
      <c r="B91" s="3">
        <v>6</v>
      </c>
      <c r="C91" s="3">
        <f t="shared" si="12"/>
        <v>725</v>
      </c>
      <c r="D91" s="4">
        <v>14265</v>
      </c>
      <c r="E91" s="5">
        <f t="shared" si="13"/>
        <v>1.2465000000000011</v>
      </c>
      <c r="F91" s="5">
        <f>IF(COUNT(flow_components!C91:E91)=3,SUM(flow_components!C91:E91),"")</f>
        <v>4.5468075999997026E-2</v>
      </c>
      <c r="G91" s="5">
        <v>123.97566999999999</v>
      </c>
      <c r="H91" s="5">
        <v>97.391000000000005</v>
      </c>
      <c r="I91" s="5">
        <v>0.65610000000000002</v>
      </c>
      <c r="J91" s="5">
        <v>30.43</v>
      </c>
      <c r="K91" s="5">
        <v>4.25</v>
      </c>
      <c r="L91" s="5">
        <v>0</v>
      </c>
      <c r="M91" s="5">
        <v>0.25</v>
      </c>
      <c r="N91" s="5">
        <f t="shared" si="14"/>
        <v>0.125</v>
      </c>
      <c r="O91" s="5">
        <f t="shared" si="15"/>
        <v>4.125</v>
      </c>
      <c r="P91" s="3">
        <f>IF(COUNTIFS(rating_events!$B$2:$B$13,C91,rating_events!$D$2:$D$13,"rating_upgrade")&gt;0,1,0)</f>
        <v>0</v>
      </c>
      <c r="Q91" s="3">
        <f>IF(COUNTIFS(rating_events!$B$2:$B$13,C91,rating_events!$D$2:$D$13,"rating_downgrade")&gt;0,1,0)</f>
        <v>0</v>
      </c>
      <c r="R91" s="3">
        <f>IF(COUNTIFS(rating_events!$B$2:$B$13,C91,rating_events!$D$2:$D$13,"outlook_improvement")&gt;0,1,0)</f>
        <v>0</v>
      </c>
      <c r="S91" s="3">
        <f>IF(COUNTIFS(rating_events!$B$2:$B$13,C91,rating_events!$D$2:$D$13,"outlook_deterioration")&gt;0,1,0)</f>
        <v>0</v>
      </c>
      <c r="T91" s="5">
        <v>12.0068</v>
      </c>
      <c r="U91" s="5">
        <v>10.760299999999999</v>
      </c>
      <c r="V91" s="3">
        <v>1</v>
      </c>
      <c r="W91" s="3">
        <v>0</v>
      </c>
      <c r="X91" s="3">
        <f t="shared" si="16"/>
        <v>1</v>
      </c>
      <c r="Y91" s="3">
        <f t="shared" si="17"/>
        <v>1</v>
      </c>
    </row>
    <row r="92" spans="1:25" ht="18" customHeight="1">
      <c r="A92" s="3">
        <v>2020</v>
      </c>
      <c r="B92" s="3">
        <v>7</v>
      </c>
      <c r="C92" s="3">
        <f t="shared" si="12"/>
        <v>726</v>
      </c>
      <c r="D92" s="4">
        <v>14600</v>
      </c>
      <c r="E92" s="5">
        <f t="shared" si="13"/>
        <v>3.2256</v>
      </c>
      <c r="F92" s="5">
        <f>IF(COUNT(flow_components!C92:E92)=3,SUM(flow_components!C92:E92),"")</f>
        <v>4.9380779780000008</v>
      </c>
      <c r="G92" s="5">
        <v>126.78693</v>
      </c>
      <c r="H92" s="5">
        <v>93.349000000000004</v>
      </c>
      <c r="I92" s="5">
        <v>0.5282</v>
      </c>
      <c r="J92" s="5">
        <v>24.46</v>
      </c>
      <c r="K92" s="5">
        <v>4</v>
      </c>
      <c r="L92" s="5">
        <v>0</v>
      </c>
      <c r="M92" s="5">
        <v>0.25</v>
      </c>
      <c r="N92" s="5">
        <f t="shared" si="14"/>
        <v>0.125</v>
      </c>
      <c r="O92" s="5">
        <f t="shared" si="15"/>
        <v>3.875</v>
      </c>
      <c r="P92" s="3">
        <f>IF(COUNTIFS(rating_events!$B$2:$B$13,C92,rating_events!$D$2:$D$13,"rating_upgrade")&gt;0,1,0)</f>
        <v>0</v>
      </c>
      <c r="Q92" s="3">
        <f>IF(COUNTIFS(rating_events!$B$2:$B$13,C92,rating_events!$D$2:$D$13,"rating_downgrade")&gt;0,1,0)</f>
        <v>0</v>
      </c>
      <c r="R92" s="3">
        <f>IF(COUNTIFS(rating_events!$B$2:$B$13,C92,rating_events!$D$2:$D$13,"outlook_improvement")&gt;0,1,0)</f>
        <v>0</v>
      </c>
      <c r="S92" s="3">
        <f>IF(COUNTIFS(rating_events!$B$2:$B$13,C92,rating_events!$D$2:$D$13,"outlook_deterioration")&gt;0,1,0)</f>
        <v>0</v>
      </c>
      <c r="T92" s="5">
        <v>13.6899</v>
      </c>
      <c r="U92" s="5">
        <v>10.4643</v>
      </c>
      <c r="V92" s="3">
        <v>1</v>
      </c>
      <c r="W92" s="3">
        <v>0</v>
      </c>
      <c r="X92" s="3">
        <f t="shared" si="16"/>
        <v>1</v>
      </c>
      <c r="Y92" s="3">
        <f t="shared" si="17"/>
        <v>1</v>
      </c>
    </row>
    <row r="93" spans="1:25" ht="18" customHeight="1">
      <c r="A93" s="3">
        <v>2020</v>
      </c>
      <c r="B93" s="3">
        <v>8</v>
      </c>
      <c r="C93" s="3">
        <f t="shared" si="12"/>
        <v>727</v>
      </c>
      <c r="D93" s="4">
        <v>14563</v>
      </c>
      <c r="E93" s="5">
        <f t="shared" si="13"/>
        <v>2.3128999999999991</v>
      </c>
      <c r="F93" s="5">
        <f>IF(COUNT(flow_components!C93:E93)=3,SUM(flow_components!C93:E93),"")</f>
        <v>-10.65573436</v>
      </c>
      <c r="G93" s="5">
        <v>128.69236000000001</v>
      </c>
      <c r="H93" s="5">
        <v>92.144000000000005</v>
      </c>
      <c r="I93" s="5">
        <v>0.70479999999999998</v>
      </c>
      <c r="J93" s="5">
        <v>26.41</v>
      </c>
      <c r="K93" s="5">
        <v>4</v>
      </c>
      <c r="L93" s="5">
        <v>0</v>
      </c>
      <c r="M93" s="5">
        <v>0.25</v>
      </c>
      <c r="N93" s="5">
        <f t="shared" si="14"/>
        <v>0.125</v>
      </c>
      <c r="O93" s="5">
        <f t="shared" si="15"/>
        <v>3.875</v>
      </c>
      <c r="P93" s="3">
        <f>IF(COUNTIFS(rating_events!$B$2:$B$13,C93,rating_events!$D$2:$D$13,"rating_upgrade")&gt;0,1,0)</f>
        <v>0</v>
      </c>
      <c r="Q93" s="3">
        <f>IF(COUNTIFS(rating_events!$B$2:$B$13,C93,rating_events!$D$2:$D$13,"rating_downgrade")&gt;0,1,0)</f>
        <v>0</v>
      </c>
      <c r="R93" s="3">
        <f>IF(COUNTIFS(rating_events!$B$2:$B$13,C93,rating_events!$D$2:$D$13,"outlook_improvement")&gt;0,1,0)</f>
        <v>0</v>
      </c>
      <c r="S93" s="3">
        <f>IF(COUNTIFS(rating_events!$B$2:$B$13,C93,rating_events!$D$2:$D$13,"outlook_deterioration")&gt;0,1,0)</f>
        <v>0</v>
      </c>
      <c r="T93" s="5">
        <v>13.055299999999999</v>
      </c>
      <c r="U93" s="5">
        <v>10.7424</v>
      </c>
      <c r="V93" s="3">
        <v>1</v>
      </c>
      <c r="W93" s="3">
        <v>0</v>
      </c>
      <c r="X93" s="3">
        <f t="shared" si="16"/>
        <v>1</v>
      </c>
      <c r="Y93" s="3">
        <f t="shared" si="17"/>
        <v>1</v>
      </c>
    </row>
    <row r="94" spans="1:25" ht="18" customHeight="1">
      <c r="A94" s="3">
        <v>2020</v>
      </c>
      <c r="B94" s="3">
        <v>9</v>
      </c>
      <c r="C94" s="3">
        <f t="shared" si="12"/>
        <v>728</v>
      </c>
      <c r="D94" s="4">
        <v>14880</v>
      </c>
      <c r="E94" s="5">
        <f t="shared" si="13"/>
        <v>2.3861000000000008</v>
      </c>
      <c r="F94" s="5">
        <f>IF(COUNT(flow_components!C94:E94)=3,SUM(flow_components!C94:E94),"")</f>
        <v>-24.379430079999999</v>
      </c>
      <c r="G94" s="5">
        <v>127.02325</v>
      </c>
      <c r="H94" s="5">
        <v>93.885999999999996</v>
      </c>
      <c r="I94" s="5">
        <v>0.68400000000000005</v>
      </c>
      <c r="J94" s="5">
        <v>26.37</v>
      </c>
      <c r="K94" s="5">
        <v>4</v>
      </c>
      <c r="L94" s="5">
        <v>0</v>
      </c>
      <c r="M94" s="5">
        <v>0.25</v>
      </c>
      <c r="N94" s="5">
        <f t="shared" si="14"/>
        <v>0.125</v>
      </c>
      <c r="O94" s="5">
        <f t="shared" si="15"/>
        <v>3.875</v>
      </c>
      <c r="P94" s="3">
        <f>IF(COUNTIFS(rating_events!$B$2:$B$13,C94,rating_events!$D$2:$D$13,"rating_upgrade")&gt;0,1,0)</f>
        <v>0</v>
      </c>
      <c r="Q94" s="3">
        <f>IF(COUNTIFS(rating_events!$B$2:$B$13,C94,rating_events!$D$2:$D$13,"rating_downgrade")&gt;0,1,0)</f>
        <v>0</v>
      </c>
      <c r="R94" s="3">
        <f>IF(COUNTIFS(rating_events!$B$2:$B$13,C94,rating_events!$D$2:$D$13,"outlook_improvement")&gt;0,1,0)</f>
        <v>0</v>
      </c>
      <c r="S94" s="3">
        <f>IF(COUNTIFS(rating_events!$B$2:$B$13,C94,rating_events!$D$2:$D$13,"outlook_deterioration")&gt;0,1,0)</f>
        <v>0</v>
      </c>
      <c r="T94" s="5">
        <v>13.956200000000001</v>
      </c>
      <c r="U94" s="5">
        <v>11.5701</v>
      </c>
      <c r="V94" s="3">
        <v>1</v>
      </c>
      <c r="W94" s="3">
        <v>0</v>
      </c>
      <c r="X94" s="3">
        <f t="shared" si="16"/>
        <v>1</v>
      </c>
      <c r="Y94" s="3">
        <f t="shared" si="17"/>
        <v>1</v>
      </c>
    </row>
    <row r="95" spans="1:25" ht="18" customHeight="1">
      <c r="A95" s="3">
        <v>2020</v>
      </c>
      <c r="B95" s="3">
        <v>10</v>
      </c>
      <c r="C95" s="3">
        <f t="shared" si="12"/>
        <v>729</v>
      </c>
      <c r="D95" s="4">
        <v>14625</v>
      </c>
      <c r="E95" s="5">
        <f t="shared" si="13"/>
        <v>3.5774000000000008</v>
      </c>
      <c r="F95" s="5">
        <f>IF(COUNT(flow_components!C95:E95)=3,SUM(flow_components!C95:E95),"")</f>
        <v>18.093429681000003</v>
      </c>
      <c r="G95" s="5">
        <v>125.47638999999999</v>
      </c>
      <c r="H95" s="5">
        <v>94.037999999999997</v>
      </c>
      <c r="I95" s="5">
        <v>0.87370000000000003</v>
      </c>
      <c r="J95" s="5">
        <v>38.020000000000003</v>
      </c>
      <c r="K95" s="5">
        <v>4</v>
      </c>
      <c r="L95" s="5">
        <v>0</v>
      </c>
      <c r="M95" s="5">
        <v>0.25</v>
      </c>
      <c r="N95" s="5">
        <f t="shared" si="14"/>
        <v>0.125</v>
      </c>
      <c r="O95" s="5">
        <f t="shared" si="15"/>
        <v>3.875</v>
      </c>
      <c r="P95" s="3">
        <f>IF(COUNTIFS(rating_events!$B$2:$B$13,C95,rating_events!$D$2:$D$13,"rating_upgrade")&gt;0,1,0)</f>
        <v>0</v>
      </c>
      <c r="Q95" s="3">
        <f>IF(COUNTIFS(rating_events!$B$2:$B$13,C95,rating_events!$D$2:$D$13,"rating_downgrade")&gt;0,1,0)</f>
        <v>0</v>
      </c>
      <c r="R95" s="3">
        <f>IF(COUNTIFS(rating_events!$B$2:$B$13,C95,rating_events!$D$2:$D$13,"outlook_improvement")&gt;0,1,0)</f>
        <v>0</v>
      </c>
      <c r="S95" s="3">
        <f>IF(COUNTIFS(rating_events!$B$2:$B$13,C95,rating_events!$D$2:$D$13,"outlook_deterioration")&gt;0,1,0)</f>
        <v>0</v>
      </c>
      <c r="T95" s="5">
        <v>14.3634</v>
      </c>
      <c r="U95" s="5">
        <v>10.786</v>
      </c>
      <c r="V95" s="3">
        <v>1</v>
      </c>
      <c r="W95" s="3">
        <v>0</v>
      </c>
      <c r="X95" s="3">
        <f t="shared" si="16"/>
        <v>1</v>
      </c>
      <c r="Y95" s="3">
        <f t="shared" si="17"/>
        <v>1</v>
      </c>
    </row>
    <row r="96" spans="1:25" ht="18" customHeight="1">
      <c r="A96" s="3">
        <v>2020</v>
      </c>
      <c r="B96" s="3">
        <v>11</v>
      </c>
      <c r="C96" s="3">
        <f t="shared" si="12"/>
        <v>730</v>
      </c>
      <c r="D96" s="4">
        <v>14120</v>
      </c>
      <c r="E96" s="5">
        <f t="shared" si="13"/>
        <v>2.5940000000000012</v>
      </c>
      <c r="F96" s="5">
        <f>IF(COUNT(flow_components!C96:E96)=3,SUM(flow_components!C96:E96),"")</f>
        <v>19.084341131999999</v>
      </c>
      <c r="G96" s="5">
        <v>125.66852</v>
      </c>
      <c r="H96" s="5">
        <v>91.869</v>
      </c>
      <c r="I96" s="5">
        <v>0.83889999999999998</v>
      </c>
      <c r="J96" s="5">
        <v>20.57</v>
      </c>
      <c r="K96" s="5">
        <v>3.75</v>
      </c>
      <c r="L96" s="5">
        <v>0</v>
      </c>
      <c r="M96" s="5">
        <v>0.25</v>
      </c>
      <c r="N96" s="5">
        <f t="shared" si="14"/>
        <v>0.125</v>
      </c>
      <c r="O96" s="5">
        <f t="shared" si="15"/>
        <v>3.625</v>
      </c>
      <c r="P96" s="3">
        <f>IF(COUNTIFS(rating_events!$B$2:$B$13,C96,rating_events!$D$2:$D$13,"rating_upgrade")&gt;0,1,0)</f>
        <v>0</v>
      </c>
      <c r="Q96" s="3">
        <f>IF(COUNTIFS(rating_events!$B$2:$B$13,C96,rating_events!$D$2:$D$13,"rating_downgrade")&gt;0,1,0)</f>
        <v>0</v>
      </c>
      <c r="R96" s="3">
        <f>IF(COUNTIFS(rating_events!$B$2:$B$13,C96,rating_events!$D$2:$D$13,"outlook_improvement")&gt;0,1,0)</f>
        <v>0</v>
      </c>
      <c r="S96" s="3">
        <f>IF(COUNTIFS(rating_events!$B$2:$B$13,C96,rating_events!$D$2:$D$13,"outlook_deterioration")&gt;0,1,0)</f>
        <v>0</v>
      </c>
      <c r="T96" s="5">
        <v>15.2584</v>
      </c>
      <c r="U96" s="5">
        <v>12.664399999999999</v>
      </c>
      <c r="V96" s="3">
        <v>1</v>
      </c>
      <c r="W96" s="3">
        <v>0</v>
      </c>
      <c r="X96" s="3">
        <f t="shared" si="16"/>
        <v>1</v>
      </c>
      <c r="Y96" s="3">
        <f t="shared" si="17"/>
        <v>1</v>
      </c>
    </row>
    <row r="97" spans="1:25" ht="18" customHeight="1">
      <c r="A97" s="3">
        <v>2020</v>
      </c>
      <c r="B97" s="3">
        <v>12</v>
      </c>
      <c r="C97" s="3">
        <f t="shared" si="12"/>
        <v>731</v>
      </c>
      <c r="D97" s="4">
        <v>14050</v>
      </c>
      <c r="E97" s="5">
        <f t="shared" si="13"/>
        <v>2.1012000000000004</v>
      </c>
      <c r="F97" s="5">
        <f>IF(COUNT(flow_components!C97:E97)=3,SUM(flow_components!C97:E97),"")</f>
        <v>-0.19843122799999868</v>
      </c>
      <c r="G97" s="5">
        <v>127.70937000000001</v>
      </c>
      <c r="H97" s="5">
        <v>89.936999999999998</v>
      </c>
      <c r="I97" s="5">
        <v>0.91320000000000001</v>
      </c>
      <c r="J97" s="5">
        <v>22.75</v>
      </c>
      <c r="K97" s="5">
        <v>3.75</v>
      </c>
      <c r="L97" s="5">
        <v>0</v>
      </c>
      <c r="M97" s="5">
        <v>0.25</v>
      </c>
      <c r="N97" s="5">
        <f t="shared" si="14"/>
        <v>0.125</v>
      </c>
      <c r="O97" s="5">
        <f t="shared" si="15"/>
        <v>3.625</v>
      </c>
      <c r="P97" s="3">
        <f>IF(COUNTIFS(rating_events!$B$2:$B$13,C97,rating_events!$D$2:$D$13,"rating_upgrade")&gt;0,1,0)</f>
        <v>0</v>
      </c>
      <c r="Q97" s="3">
        <f>IF(COUNTIFS(rating_events!$B$2:$B$13,C97,rating_events!$D$2:$D$13,"rating_downgrade")&gt;0,1,0)</f>
        <v>0</v>
      </c>
      <c r="R97" s="3">
        <f>IF(COUNTIFS(rating_events!$B$2:$B$13,C97,rating_events!$D$2:$D$13,"outlook_improvement")&gt;0,1,0)</f>
        <v>0</v>
      </c>
      <c r="S97" s="3">
        <f>IF(COUNTIFS(rating_events!$B$2:$B$13,C97,rating_events!$D$2:$D$13,"outlook_deterioration")&gt;0,1,0)</f>
        <v>0</v>
      </c>
      <c r="T97" s="5">
        <v>16.5396</v>
      </c>
      <c r="U97" s="5">
        <v>14.4384</v>
      </c>
      <c r="V97" s="3">
        <v>1</v>
      </c>
      <c r="W97" s="3">
        <v>0</v>
      </c>
      <c r="X97" s="3">
        <f t="shared" si="16"/>
        <v>1</v>
      </c>
      <c r="Y97" s="3">
        <f t="shared" si="17"/>
        <v>1</v>
      </c>
    </row>
    <row r="98" spans="1:25" ht="18" customHeight="1">
      <c r="A98" s="3">
        <v>2021</v>
      </c>
      <c r="B98" s="3">
        <v>1</v>
      </c>
      <c r="C98" s="3">
        <f t="shared" ref="C98:C129" si="18">12*(A98-1960)+B98-1</f>
        <v>732</v>
      </c>
      <c r="D98" s="4">
        <v>14030</v>
      </c>
      <c r="E98" s="5">
        <f t="shared" ref="E98:E129" si="19">IF(COUNT(T98:U98)=2,T98-U98,"")</f>
        <v>1.9702999999999999</v>
      </c>
      <c r="F98" s="5">
        <f>IF(COUNT(flow_components!C98:E98)=3,SUM(flow_components!C98:E98),"")</f>
        <v>21.781417343999998</v>
      </c>
      <c r="G98" s="5">
        <v>129.904</v>
      </c>
      <c r="H98" s="5">
        <v>90.584000000000003</v>
      </c>
      <c r="I98" s="5">
        <v>1.0654999999999999</v>
      </c>
      <c r="J98" s="5">
        <v>33.090000000000003</v>
      </c>
      <c r="K98" s="5">
        <v>3.75</v>
      </c>
      <c r="L98" s="5">
        <v>0</v>
      </c>
      <c r="M98" s="5">
        <v>0.25</v>
      </c>
      <c r="N98" s="5">
        <f t="shared" ref="N98:N129" si="20">(L98+M98)/2</f>
        <v>0.125</v>
      </c>
      <c r="O98" s="5">
        <f t="shared" ref="O98:O129" si="21">K98-N98</f>
        <v>3.625</v>
      </c>
      <c r="P98" s="3">
        <f>IF(COUNTIFS(rating_events!$B$2:$B$13,C98,rating_events!$D$2:$D$13,"rating_upgrade")&gt;0,1,0)</f>
        <v>0</v>
      </c>
      <c r="Q98" s="3">
        <f>IF(COUNTIFS(rating_events!$B$2:$B$13,C98,rating_events!$D$2:$D$13,"rating_downgrade")&gt;0,1,0)</f>
        <v>0</v>
      </c>
      <c r="R98" s="3">
        <f>IF(COUNTIFS(rating_events!$B$2:$B$13,C98,rating_events!$D$2:$D$13,"outlook_improvement")&gt;0,1,0)</f>
        <v>0</v>
      </c>
      <c r="S98" s="3">
        <f>IF(COUNTIFS(rating_events!$B$2:$B$13,C98,rating_events!$D$2:$D$13,"outlook_deterioration")&gt;0,1,0)</f>
        <v>0</v>
      </c>
      <c r="T98" s="5">
        <v>15.3002</v>
      </c>
      <c r="U98" s="5">
        <v>13.3299</v>
      </c>
      <c r="V98" s="3">
        <v>1</v>
      </c>
      <c r="W98" s="3">
        <v>0</v>
      </c>
      <c r="X98" s="3">
        <f t="shared" ref="X98:X129" si="22">IF(AND(A98&gt;=2014,Y98=1),1,0)</f>
        <v>1</v>
      </c>
      <c r="Y98" s="3">
        <f t="shared" ref="Y98:Y129" si="23">IF(COUNT(D98:H98)=5,1,0)</f>
        <v>1</v>
      </c>
    </row>
    <row r="99" spans="1:25" ht="18" customHeight="1">
      <c r="A99" s="3">
        <v>2021</v>
      </c>
      <c r="B99" s="3">
        <v>2</v>
      </c>
      <c r="C99" s="3">
        <f t="shared" si="18"/>
        <v>733</v>
      </c>
      <c r="D99" s="4">
        <v>14235</v>
      </c>
      <c r="E99" s="5">
        <f t="shared" si="19"/>
        <v>1.9903999999999993</v>
      </c>
      <c r="F99" s="5">
        <f>IF(COUNT(flow_components!C99:E99)=3,SUM(flow_components!C99:E99),"")</f>
        <v>-11.505932841</v>
      </c>
      <c r="G99" s="5">
        <v>130.85239999999999</v>
      </c>
      <c r="H99" s="5">
        <v>90.879000000000005</v>
      </c>
      <c r="I99" s="5">
        <v>1.4049</v>
      </c>
      <c r="J99" s="5">
        <v>27.95</v>
      </c>
      <c r="K99" s="5">
        <v>3.5</v>
      </c>
      <c r="L99" s="5">
        <v>0</v>
      </c>
      <c r="M99" s="5">
        <v>0.25</v>
      </c>
      <c r="N99" s="5">
        <f t="shared" si="20"/>
        <v>0.125</v>
      </c>
      <c r="O99" s="5">
        <f t="shared" si="21"/>
        <v>3.375</v>
      </c>
      <c r="P99" s="3">
        <f>IF(COUNTIFS(rating_events!$B$2:$B$13,C99,rating_events!$D$2:$D$13,"rating_upgrade")&gt;0,1,0)</f>
        <v>0</v>
      </c>
      <c r="Q99" s="3">
        <f>IF(COUNTIFS(rating_events!$B$2:$B$13,C99,rating_events!$D$2:$D$13,"rating_downgrade")&gt;0,1,0)</f>
        <v>0</v>
      </c>
      <c r="R99" s="3">
        <f>IF(COUNTIFS(rating_events!$B$2:$B$13,C99,rating_events!$D$2:$D$13,"outlook_improvement")&gt;0,1,0)</f>
        <v>0</v>
      </c>
      <c r="S99" s="3">
        <f>IF(COUNTIFS(rating_events!$B$2:$B$13,C99,rating_events!$D$2:$D$13,"outlook_deterioration")&gt;0,1,0)</f>
        <v>0</v>
      </c>
      <c r="T99" s="5">
        <v>15.2554</v>
      </c>
      <c r="U99" s="5">
        <v>13.265000000000001</v>
      </c>
      <c r="V99" s="3">
        <v>1</v>
      </c>
      <c r="W99" s="3">
        <v>0</v>
      </c>
      <c r="X99" s="3">
        <f t="shared" si="22"/>
        <v>1</v>
      </c>
      <c r="Y99" s="3">
        <f t="shared" si="23"/>
        <v>1</v>
      </c>
    </row>
    <row r="100" spans="1:25" ht="18" customHeight="1">
      <c r="A100" s="3">
        <v>2021</v>
      </c>
      <c r="B100" s="3">
        <v>3</v>
      </c>
      <c r="C100" s="3">
        <f t="shared" si="18"/>
        <v>734</v>
      </c>
      <c r="D100" s="4">
        <v>14525</v>
      </c>
      <c r="E100" s="5">
        <f t="shared" si="19"/>
        <v>1.6109000000000009</v>
      </c>
      <c r="F100" s="5">
        <f>IF(COUNT(flow_components!C100:E100)=3,SUM(flow_components!C100:E100),"")</f>
        <v>-20.722248887000006</v>
      </c>
      <c r="G100" s="5">
        <v>129.46366</v>
      </c>
      <c r="H100" s="5">
        <v>93.231999999999999</v>
      </c>
      <c r="I100" s="5">
        <v>1.7403999999999999</v>
      </c>
      <c r="J100" s="5">
        <v>19.399999999999999</v>
      </c>
      <c r="K100" s="5">
        <v>3.5</v>
      </c>
      <c r="L100" s="5">
        <v>0</v>
      </c>
      <c r="M100" s="5">
        <v>0.25</v>
      </c>
      <c r="N100" s="5">
        <f t="shared" si="20"/>
        <v>0.125</v>
      </c>
      <c r="O100" s="5">
        <f t="shared" si="21"/>
        <v>3.375</v>
      </c>
      <c r="P100" s="3">
        <f>IF(COUNTIFS(rating_events!$B$2:$B$13,C100,rating_events!$D$2:$D$13,"rating_upgrade")&gt;0,1,0)</f>
        <v>0</v>
      </c>
      <c r="Q100" s="3">
        <f>IF(COUNTIFS(rating_events!$B$2:$B$13,C100,rating_events!$D$2:$D$13,"rating_downgrade")&gt;0,1,0)</f>
        <v>0</v>
      </c>
      <c r="R100" s="3">
        <f>IF(COUNTIFS(rating_events!$B$2:$B$13,C100,rating_events!$D$2:$D$13,"outlook_improvement")&gt;0,1,0)</f>
        <v>0</v>
      </c>
      <c r="S100" s="3">
        <f>IF(COUNTIFS(rating_events!$B$2:$B$13,C100,rating_events!$D$2:$D$13,"outlook_deterioration")&gt;0,1,0)</f>
        <v>0</v>
      </c>
      <c r="T100" s="5">
        <v>18.398400000000002</v>
      </c>
      <c r="U100" s="5">
        <v>16.787500000000001</v>
      </c>
      <c r="V100" s="3">
        <v>1</v>
      </c>
      <c r="W100" s="3">
        <v>0</v>
      </c>
      <c r="X100" s="3">
        <f t="shared" si="22"/>
        <v>1</v>
      </c>
      <c r="Y100" s="3">
        <f t="shared" si="23"/>
        <v>1</v>
      </c>
    </row>
    <row r="101" spans="1:25" ht="18" customHeight="1">
      <c r="A101" s="3">
        <v>2021</v>
      </c>
      <c r="B101" s="3">
        <v>4</v>
      </c>
      <c r="C101" s="3">
        <f t="shared" si="18"/>
        <v>735</v>
      </c>
      <c r="D101" s="4">
        <v>14445</v>
      </c>
      <c r="E101" s="5">
        <f t="shared" si="19"/>
        <v>2.2698</v>
      </c>
      <c r="F101" s="5">
        <f>IF(COUNT(flow_components!C101:E101)=3,SUM(flow_components!C101:E101),"")</f>
        <v>10.655743161</v>
      </c>
      <c r="G101" s="5">
        <v>130.92716999999999</v>
      </c>
      <c r="H101" s="5">
        <v>91.28</v>
      </c>
      <c r="I101" s="5">
        <v>1.6258999999999999</v>
      </c>
      <c r="J101" s="5">
        <v>18.61</v>
      </c>
      <c r="K101" s="5">
        <v>3.5</v>
      </c>
      <c r="L101" s="5">
        <v>0</v>
      </c>
      <c r="M101" s="5">
        <v>0.25</v>
      </c>
      <c r="N101" s="5">
        <f t="shared" si="20"/>
        <v>0.125</v>
      </c>
      <c r="O101" s="5">
        <f t="shared" si="21"/>
        <v>3.375</v>
      </c>
      <c r="P101" s="3">
        <f>IF(COUNTIFS(rating_events!$B$2:$B$13,C101,rating_events!$D$2:$D$13,"rating_upgrade")&gt;0,1,0)</f>
        <v>0</v>
      </c>
      <c r="Q101" s="3">
        <f>IF(COUNTIFS(rating_events!$B$2:$B$13,C101,rating_events!$D$2:$D$13,"rating_downgrade")&gt;0,1,0)</f>
        <v>0</v>
      </c>
      <c r="R101" s="3">
        <f>IF(COUNTIFS(rating_events!$B$2:$B$13,C101,rating_events!$D$2:$D$13,"outlook_improvement")&gt;0,1,0)</f>
        <v>0</v>
      </c>
      <c r="S101" s="3">
        <f>IF(COUNTIFS(rating_events!$B$2:$B$13,C101,rating_events!$D$2:$D$13,"outlook_deterioration")&gt;0,1,0)</f>
        <v>0</v>
      </c>
      <c r="T101" s="5">
        <v>18.4741</v>
      </c>
      <c r="U101" s="5">
        <v>16.2043</v>
      </c>
      <c r="V101" s="3">
        <v>1</v>
      </c>
      <c r="W101" s="3">
        <v>0</v>
      </c>
      <c r="X101" s="3">
        <f t="shared" si="22"/>
        <v>1</v>
      </c>
      <c r="Y101" s="3">
        <f t="shared" si="23"/>
        <v>1</v>
      </c>
    </row>
    <row r="102" spans="1:25" ht="18" customHeight="1">
      <c r="A102" s="3">
        <v>2021</v>
      </c>
      <c r="B102" s="3">
        <v>5</v>
      </c>
      <c r="C102" s="3">
        <f t="shared" si="18"/>
        <v>736</v>
      </c>
      <c r="D102" s="4">
        <v>14280</v>
      </c>
      <c r="E102" s="5">
        <f t="shared" si="19"/>
        <v>2.6732000000000014</v>
      </c>
      <c r="F102" s="5">
        <f>IF(COUNT(flow_components!C102:E102)=3,SUM(flow_components!C102:E102),"")</f>
        <v>6.3262996620000003</v>
      </c>
      <c r="G102" s="5">
        <v>128.15181999999999</v>
      </c>
      <c r="H102" s="5">
        <v>89.828999999999994</v>
      </c>
      <c r="I102" s="5">
        <v>1.5943000000000001</v>
      </c>
      <c r="J102" s="5">
        <v>16.760000000000002</v>
      </c>
      <c r="K102" s="5">
        <v>3.5</v>
      </c>
      <c r="L102" s="5">
        <v>0</v>
      </c>
      <c r="M102" s="5">
        <v>0.25</v>
      </c>
      <c r="N102" s="5">
        <f t="shared" si="20"/>
        <v>0.125</v>
      </c>
      <c r="O102" s="5">
        <f t="shared" si="21"/>
        <v>3.375</v>
      </c>
      <c r="P102" s="3">
        <f>IF(COUNTIFS(rating_events!$B$2:$B$13,C102,rating_events!$D$2:$D$13,"rating_upgrade")&gt;0,1,0)</f>
        <v>0</v>
      </c>
      <c r="Q102" s="3">
        <f>IF(COUNTIFS(rating_events!$B$2:$B$13,C102,rating_events!$D$2:$D$13,"rating_downgrade")&gt;0,1,0)</f>
        <v>0</v>
      </c>
      <c r="R102" s="3">
        <f>IF(COUNTIFS(rating_events!$B$2:$B$13,C102,rating_events!$D$2:$D$13,"outlook_improvement")&gt;0,1,0)</f>
        <v>0</v>
      </c>
      <c r="S102" s="3">
        <f>IF(COUNTIFS(rating_events!$B$2:$B$13,C102,rating_events!$D$2:$D$13,"outlook_deterioration")&gt;0,1,0)</f>
        <v>0</v>
      </c>
      <c r="T102" s="5">
        <v>16.908000000000001</v>
      </c>
      <c r="U102" s="5">
        <v>14.2348</v>
      </c>
      <c r="V102" s="3">
        <v>1</v>
      </c>
      <c r="W102" s="3">
        <v>0</v>
      </c>
      <c r="X102" s="3">
        <f t="shared" si="22"/>
        <v>1</v>
      </c>
      <c r="Y102" s="3">
        <f t="shared" si="23"/>
        <v>1</v>
      </c>
    </row>
    <row r="103" spans="1:25" ht="18" customHeight="1">
      <c r="A103" s="3">
        <v>2021</v>
      </c>
      <c r="B103" s="3">
        <v>6</v>
      </c>
      <c r="C103" s="3">
        <f t="shared" si="18"/>
        <v>737</v>
      </c>
      <c r="D103" s="4">
        <v>14500</v>
      </c>
      <c r="E103" s="5">
        <f t="shared" si="19"/>
        <v>1.3292999999999999</v>
      </c>
      <c r="F103" s="5">
        <f>IF(COUNT(flow_components!C103:E103)=3,SUM(flow_components!C103:E103),"")</f>
        <v>22.941749583000004</v>
      </c>
      <c r="G103" s="5">
        <v>129.24821</v>
      </c>
      <c r="H103" s="5">
        <v>92.436000000000007</v>
      </c>
      <c r="I103" s="5">
        <v>1.468</v>
      </c>
      <c r="J103" s="5">
        <v>15.83</v>
      </c>
      <c r="K103" s="5">
        <v>3.5</v>
      </c>
      <c r="L103" s="5">
        <v>0</v>
      </c>
      <c r="M103" s="5">
        <v>0.25</v>
      </c>
      <c r="N103" s="5">
        <f t="shared" si="20"/>
        <v>0.125</v>
      </c>
      <c r="O103" s="5">
        <f t="shared" si="21"/>
        <v>3.375</v>
      </c>
      <c r="P103" s="3">
        <f>IF(COUNTIFS(rating_events!$B$2:$B$13,C103,rating_events!$D$2:$D$13,"rating_upgrade")&gt;0,1,0)</f>
        <v>0</v>
      </c>
      <c r="Q103" s="3">
        <f>IF(COUNTIFS(rating_events!$B$2:$B$13,C103,rating_events!$D$2:$D$13,"rating_downgrade")&gt;0,1,0)</f>
        <v>0</v>
      </c>
      <c r="R103" s="3">
        <f>IF(COUNTIFS(rating_events!$B$2:$B$13,C103,rating_events!$D$2:$D$13,"outlook_improvement")&gt;0,1,0)</f>
        <v>0</v>
      </c>
      <c r="S103" s="3">
        <f>IF(COUNTIFS(rating_events!$B$2:$B$13,C103,rating_events!$D$2:$D$13,"outlook_deterioration")&gt;0,1,0)</f>
        <v>0</v>
      </c>
      <c r="T103" s="5">
        <v>18.547799999999999</v>
      </c>
      <c r="U103" s="5">
        <v>17.218499999999999</v>
      </c>
      <c r="V103" s="3">
        <v>1</v>
      </c>
      <c r="W103" s="3">
        <v>0</v>
      </c>
      <c r="X103" s="3">
        <f t="shared" si="22"/>
        <v>1</v>
      </c>
      <c r="Y103" s="3">
        <f t="shared" si="23"/>
        <v>1</v>
      </c>
    </row>
    <row r="104" spans="1:25" ht="18" customHeight="1">
      <c r="A104" s="3">
        <v>2021</v>
      </c>
      <c r="B104" s="3">
        <v>7</v>
      </c>
      <c r="C104" s="3">
        <f t="shared" si="18"/>
        <v>738</v>
      </c>
      <c r="D104" s="4">
        <v>14463</v>
      </c>
      <c r="E104" s="5">
        <f t="shared" si="19"/>
        <v>4.1064999999999987</v>
      </c>
      <c r="F104" s="5">
        <f>IF(COUNT(flow_components!C104:E104)=3,SUM(flow_components!C104:E104),"")</f>
        <v>-7.3958776069999992</v>
      </c>
      <c r="G104" s="5">
        <v>129.32085000000001</v>
      </c>
      <c r="H104" s="5">
        <v>92.174000000000007</v>
      </c>
      <c r="I104" s="5">
        <v>1.2222999999999999</v>
      </c>
      <c r="J104" s="5">
        <v>18.239999999999998</v>
      </c>
      <c r="K104" s="5">
        <v>3.5</v>
      </c>
      <c r="L104" s="5">
        <v>0</v>
      </c>
      <c r="M104" s="5">
        <v>0.25</v>
      </c>
      <c r="N104" s="5">
        <f t="shared" si="20"/>
        <v>0.125</v>
      </c>
      <c r="O104" s="5">
        <f t="shared" si="21"/>
        <v>3.375</v>
      </c>
      <c r="P104" s="3">
        <f>IF(COUNTIFS(rating_events!$B$2:$B$13,C104,rating_events!$D$2:$D$13,"rating_upgrade")&gt;0,1,0)</f>
        <v>0</v>
      </c>
      <c r="Q104" s="3">
        <f>IF(COUNTIFS(rating_events!$B$2:$B$13,C104,rating_events!$D$2:$D$13,"rating_downgrade")&gt;0,1,0)</f>
        <v>0</v>
      </c>
      <c r="R104" s="3">
        <f>IF(COUNTIFS(rating_events!$B$2:$B$13,C104,rating_events!$D$2:$D$13,"outlook_improvement")&gt;0,1,0)</f>
        <v>0</v>
      </c>
      <c r="S104" s="3">
        <f>IF(COUNTIFS(rating_events!$B$2:$B$13,C104,rating_events!$D$2:$D$13,"outlook_deterioration")&gt;0,1,0)</f>
        <v>0</v>
      </c>
      <c r="T104" s="5">
        <v>19.369599999999998</v>
      </c>
      <c r="U104" s="5">
        <v>15.2631</v>
      </c>
      <c r="V104" s="3">
        <v>1</v>
      </c>
      <c r="W104" s="3">
        <v>0</v>
      </c>
      <c r="X104" s="3">
        <f t="shared" si="22"/>
        <v>1</v>
      </c>
      <c r="Y104" s="3">
        <f t="shared" si="23"/>
        <v>1</v>
      </c>
    </row>
    <row r="105" spans="1:25" ht="18" customHeight="1">
      <c r="A105" s="3">
        <v>2021</v>
      </c>
      <c r="B105" s="3">
        <v>8</v>
      </c>
      <c r="C105" s="3">
        <f t="shared" si="18"/>
        <v>739</v>
      </c>
      <c r="D105" s="4">
        <v>14268</v>
      </c>
      <c r="E105" s="5">
        <f t="shared" si="19"/>
        <v>4.7642999999999986</v>
      </c>
      <c r="F105" s="5">
        <f>IF(COUNT(flow_components!C105:E105)=3,SUM(flow_components!C105:E105),"")</f>
        <v>19.049637457999999</v>
      </c>
      <c r="G105" s="5">
        <v>130.46753000000001</v>
      </c>
      <c r="H105" s="5">
        <v>92.626000000000005</v>
      </c>
      <c r="I105" s="5">
        <v>1.3088</v>
      </c>
      <c r="J105" s="5">
        <v>16.48</v>
      </c>
      <c r="K105" s="5">
        <v>3.5</v>
      </c>
      <c r="L105" s="5">
        <v>0</v>
      </c>
      <c r="M105" s="5">
        <v>0.25</v>
      </c>
      <c r="N105" s="5">
        <f t="shared" si="20"/>
        <v>0.125</v>
      </c>
      <c r="O105" s="5">
        <f t="shared" si="21"/>
        <v>3.375</v>
      </c>
      <c r="P105" s="3">
        <f>IF(COUNTIFS(rating_events!$B$2:$B$13,C105,rating_events!$D$2:$D$13,"rating_upgrade")&gt;0,1,0)</f>
        <v>0</v>
      </c>
      <c r="Q105" s="3">
        <f>IF(COUNTIFS(rating_events!$B$2:$B$13,C105,rating_events!$D$2:$D$13,"rating_downgrade")&gt;0,1,0)</f>
        <v>0</v>
      </c>
      <c r="R105" s="3">
        <f>IF(COUNTIFS(rating_events!$B$2:$B$13,C105,rating_events!$D$2:$D$13,"outlook_improvement")&gt;0,1,0)</f>
        <v>0</v>
      </c>
      <c r="S105" s="3">
        <f>IF(COUNTIFS(rating_events!$B$2:$B$13,C105,rating_events!$D$2:$D$13,"outlook_deterioration")&gt;0,1,0)</f>
        <v>0</v>
      </c>
      <c r="T105" s="5">
        <v>21.443200000000001</v>
      </c>
      <c r="U105" s="5">
        <v>16.678900000000002</v>
      </c>
      <c r="V105" s="3">
        <v>1</v>
      </c>
      <c r="W105" s="3">
        <v>0</v>
      </c>
      <c r="X105" s="3">
        <f t="shared" si="22"/>
        <v>1</v>
      </c>
      <c r="Y105" s="3">
        <f t="shared" si="23"/>
        <v>1</v>
      </c>
    </row>
    <row r="106" spans="1:25" ht="18" customHeight="1">
      <c r="A106" s="3">
        <v>2021</v>
      </c>
      <c r="B106" s="3">
        <v>9</v>
      </c>
      <c r="C106" s="3">
        <f t="shared" si="18"/>
        <v>740</v>
      </c>
      <c r="D106" s="4">
        <v>14313</v>
      </c>
      <c r="E106" s="5">
        <f t="shared" si="19"/>
        <v>4.3846999999999987</v>
      </c>
      <c r="F106" s="5">
        <f>IF(COUNT(flow_components!C106:E106)=3,SUM(flow_components!C106:E106),"")</f>
        <v>-14.320700952999999</v>
      </c>
      <c r="G106" s="5">
        <v>132.81491</v>
      </c>
      <c r="H106" s="5">
        <v>94.23</v>
      </c>
      <c r="I106" s="5">
        <v>1.4873000000000001</v>
      </c>
      <c r="J106" s="5">
        <v>23.14</v>
      </c>
      <c r="K106" s="5">
        <v>3.5</v>
      </c>
      <c r="L106" s="5">
        <v>0</v>
      </c>
      <c r="M106" s="5">
        <v>0.25</v>
      </c>
      <c r="N106" s="5">
        <f t="shared" si="20"/>
        <v>0.125</v>
      </c>
      <c r="O106" s="5">
        <f t="shared" si="21"/>
        <v>3.375</v>
      </c>
      <c r="P106" s="3">
        <f>IF(COUNTIFS(rating_events!$B$2:$B$13,C106,rating_events!$D$2:$D$13,"rating_upgrade")&gt;0,1,0)</f>
        <v>0</v>
      </c>
      <c r="Q106" s="3">
        <f>IF(COUNTIFS(rating_events!$B$2:$B$13,C106,rating_events!$D$2:$D$13,"rating_downgrade")&gt;0,1,0)</f>
        <v>0</v>
      </c>
      <c r="R106" s="3">
        <f>IF(COUNTIFS(rating_events!$B$2:$B$13,C106,rating_events!$D$2:$D$13,"outlook_improvement")&gt;0,1,0)</f>
        <v>0</v>
      </c>
      <c r="S106" s="3">
        <f>IF(COUNTIFS(rating_events!$B$2:$B$13,C106,rating_events!$D$2:$D$13,"outlook_deterioration")&gt;0,1,0)</f>
        <v>0</v>
      </c>
      <c r="T106" s="5">
        <v>20.6188</v>
      </c>
      <c r="U106" s="5">
        <v>16.234100000000002</v>
      </c>
      <c r="V106" s="3">
        <v>1</v>
      </c>
      <c r="W106" s="3">
        <v>0</v>
      </c>
      <c r="X106" s="3">
        <f t="shared" si="22"/>
        <v>1</v>
      </c>
      <c r="Y106" s="3">
        <f t="shared" si="23"/>
        <v>1</v>
      </c>
    </row>
    <row r="107" spans="1:25" ht="18" customHeight="1">
      <c r="A107" s="3">
        <v>2021</v>
      </c>
      <c r="B107" s="3">
        <v>10</v>
      </c>
      <c r="C107" s="3">
        <f t="shared" si="18"/>
        <v>741</v>
      </c>
      <c r="D107" s="4">
        <v>14168</v>
      </c>
      <c r="E107" s="5">
        <f t="shared" si="19"/>
        <v>5.8260000000000005</v>
      </c>
      <c r="F107" s="5">
        <f>IF(COUNT(flow_components!C107:E107)=3,SUM(flow_components!C107:E107),"")</f>
        <v>0.26071487000000104</v>
      </c>
      <c r="G107" s="5">
        <v>131.27044000000001</v>
      </c>
      <c r="H107" s="5">
        <v>94.123000000000005</v>
      </c>
      <c r="I107" s="5">
        <v>1.5521</v>
      </c>
      <c r="J107" s="5">
        <v>16.260000000000002</v>
      </c>
      <c r="K107" s="5">
        <v>3.5</v>
      </c>
      <c r="L107" s="5">
        <v>0</v>
      </c>
      <c r="M107" s="5">
        <v>0.25</v>
      </c>
      <c r="N107" s="5">
        <f t="shared" si="20"/>
        <v>0.125</v>
      </c>
      <c r="O107" s="5">
        <f t="shared" si="21"/>
        <v>3.375</v>
      </c>
      <c r="P107" s="3">
        <f>IF(COUNTIFS(rating_events!$B$2:$B$13,C107,rating_events!$D$2:$D$13,"rating_upgrade")&gt;0,1,0)</f>
        <v>0</v>
      </c>
      <c r="Q107" s="3">
        <f>IF(COUNTIFS(rating_events!$B$2:$B$13,C107,rating_events!$D$2:$D$13,"rating_downgrade")&gt;0,1,0)</f>
        <v>0</v>
      </c>
      <c r="R107" s="3">
        <f>IF(COUNTIFS(rating_events!$B$2:$B$13,C107,rating_events!$D$2:$D$13,"outlook_improvement")&gt;0,1,0)</f>
        <v>0</v>
      </c>
      <c r="S107" s="3">
        <f>IF(COUNTIFS(rating_events!$B$2:$B$13,C107,rating_events!$D$2:$D$13,"outlook_deterioration")&gt;0,1,0)</f>
        <v>0</v>
      </c>
      <c r="T107" s="5">
        <v>22.1221</v>
      </c>
      <c r="U107" s="5">
        <v>16.296099999999999</v>
      </c>
      <c r="V107" s="3">
        <v>1</v>
      </c>
      <c r="W107" s="3">
        <v>0</v>
      </c>
      <c r="X107" s="3">
        <f t="shared" si="22"/>
        <v>1</v>
      </c>
      <c r="Y107" s="3">
        <f t="shared" si="23"/>
        <v>1</v>
      </c>
    </row>
    <row r="108" spans="1:25" ht="18" customHeight="1">
      <c r="A108" s="3">
        <v>2021</v>
      </c>
      <c r="B108" s="3">
        <v>11</v>
      </c>
      <c r="C108" s="3">
        <f t="shared" si="18"/>
        <v>742</v>
      </c>
      <c r="D108" s="4">
        <v>14323</v>
      </c>
      <c r="E108" s="5">
        <f t="shared" si="19"/>
        <v>3.532</v>
      </c>
      <c r="F108" s="5">
        <f>IF(COUNT(flow_components!C108:E108)=3,SUM(flow_components!C108:E108),"")</f>
        <v>-33.872878361999994</v>
      </c>
      <c r="G108" s="5">
        <v>131.76307</v>
      </c>
      <c r="H108" s="5">
        <v>95.994</v>
      </c>
      <c r="I108" s="5">
        <v>1.4442999999999999</v>
      </c>
      <c r="J108" s="5">
        <v>27.19</v>
      </c>
      <c r="K108" s="5">
        <v>3.5</v>
      </c>
      <c r="L108" s="5">
        <v>0</v>
      </c>
      <c r="M108" s="5">
        <v>0.25</v>
      </c>
      <c r="N108" s="5">
        <f t="shared" si="20"/>
        <v>0.125</v>
      </c>
      <c r="O108" s="5">
        <f t="shared" si="21"/>
        <v>3.375</v>
      </c>
      <c r="P108" s="3">
        <f>IF(COUNTIFS(rating_events!$B$2:$B$13,C108,rating_events!$D$2:$D$13,"rating_upgrade")&gt;0,1,0)</f>
        <v>0</v>
      </c>
      <c r="Q108" s="3">
        <f>IF(COUNTIFS(rating_events!$B$2:$B$13,C108,rating_events!$D$2:$D$13,"rating_downgrade")&gt;0,1,0)</f>
        <v>0</v>
      </c>
      <c r="R108" s="3">
        <f>IF(COUNTIFS(rating_events!$B$2:$B$13,C108,rating_events!$D$2:$D$13,"outlook_improvement")&gt;0,1,0)</f>
        <v>0</v>
      </c>
      <c r="S108" s="3">
        <f>IF(COUNTIFS(rating_events!$B$2:$B$13,C108,rating_events!$D$2:$D$13,"outlook_deterioration")&gt;0,1,0)</f>
        <v>0</v>
      </c>
      <c r="T108" s="5">
        <v>22.883200000000002</v>
      </c>
      <c r="U108" s="5">
        <v>19.351200000000002</v>
      </c>
      <c r="V108" s="3">
        <v>1</v>
      </c>
      <c r="W108" s="3">
        <v>0</v>
      </c>
      <c r="X108" s="3">
        <f t="shared" si="22"/>
        <v>1</v>
      </c>
      <c r="Y108" s="3">
        <f t="shared" si="23"/>
        <v>1</v>
      </c>
    </row>
    <row r="109" spans="1:25" ht="18" customHeight="1">
      <c r="A109" s="3">
        <v>2021</v>
      </c>
      <c r="B109" s="3">
        <v>12</v>
      </c>
      <c r="C109" s="3">
        <f t="shared" si="18"/>
        <v>743</v>
      </c>
      <c r="D109" s="4">
        <v>14253</v>
      </c>
      <c r="E109" s="5">
        <f t="shared" si="19"/>
        <v>1.0294999999999987</v>
      </c>
      <c r="F109" s="5">
        <f>IF(COUNT(flow_components!C109:E109)=3,SUM(flow_components!C109:E109),"")</f>
        <v>-25.674894078000001</v>
      </c>
      <c r="G109" s="5">
        <v>130.73330000000001</v>
      </c>
      <c r="H109" s="5">
        <v>95.67</v>
      </c>
      <c r="I109" s="5">
        <v>1.5101</v>
      </c>
      <c r="J109" s="5">
        <v>17.22</v>
      </c>
      <c r="K109" s="5">
        <v>3.5</v>
      </c>
      <c r="L109" s="5">
        <v>0</v>
      </c>
      <c r="M109" s="5">
        <v>0.25</v>
      </c>
      <c r="N109" s="5">
        <f t="shared" si="20"/>
        <v>0.125</v>
      </c>
      <c r="O109" s="5">
        <f t="shared" si="21"/>
        <v>3.375</v>
      </c>
      <c r="P109" s="3">
        <f>IF(COUNTIFS(rating_events!$B$2:$B$13,C109,rating_events!$D$2:$D$13,"rating_upgrade")&gt;0,1,0)</f>
        <v>0</v>
      </c>
      <c r="Q109" s="3">
        <f>IF(COUNTIFS(rating_events!$B$2:$B$13,C109,rating_events!$D$2:$D$13,"rating_downgrade")&gt;0,1,0)</f>
        <v>0</v>
      </c>
      <c r="R109" s="3">
        <f>IF(COUNTIFS(rating_events!$B$2:$B$13,C109,rating_events!$D$2:$D$13,"outlook_improvement")&gt;0,1,0)</f>
        <v>0</v>
      </c>
      <c r="S109" s="3">
        <f>IF(COUNTIFS(rating_events!$B$2:$B$13,C109,rating_events!$D$2:$D$13,"outlook_deterioration")&gt;0,1,0)</f>
        <v>0</v>
      </c>
      <c r="T109" s="5">
        <v>22.389299999999999</v>
      </c>
      <c r="U109" s="5">
        <v>21.3598</v>
      </c>
      <c r="V109" s="3">
        <v>1</v>
      </c>
      <c r="W109" s="3">
        <v>0</v>
      </c>
      <c r="X109" s="3">
        <f t="shared" si="22"/>
        <v>1</v>
      </c>
      <c r="Y109" s="3">
        <f t="shared" si="23"/>
        <v>1</v>
      </c>
    </row>
    <row r="110" spans="1:25" ht="18" customHeight="1">
      <c r="A110" s="3">
        <v>2022</v>
      </c>
      <c r="B110" s="3">
        <v>1</v>
      </c>
      <c r="C110" s="3">
        <f t="shared" si="18"/>
        <v>744</v>
      </c>
      <c r="D110" s="4">
        <v>14383</v>
      </c>
      <c r="E110" s="5">
        <f t="shared" si="19"/>
        <v>0.9670000000000023</v>
      </c>
      <c r="F110" s="5">
        <f>IF(COUNT(flow_components!C110:E110)=3,SUM(flow_components!C110:E110),"")</f>
        <v>2.0339227950000023</v>
      </c>
      <c r="G110" s="5">
        <v>127.29683</v>
      </c>
      <c r="H110" s="5">
        <v>96.54</v>
      </c>
      <c r="I110" s="5">
        <v>1.7766999999999999</v>
      </c>
      <c r="J110" s="5">
        <v>24.83</v>
      </c>
      <c r="K110" s="5">
        <v>3.5</v>
      </c>
      <c r="L110" s="5">
        <v>0</v>
      </c>
      <c r="M110" s="5">
        <v>0.25</v>
      </c>
      <c r="N110" s="5">
        <f t="shared" si="20"/>
        <v>0.125</v>
      </c>
      <c r="O110" s="5">
        <f t="shared" si="21"/>
        <v>3.375</v>
      </c>
      <c r="P110" s="3">
        <f>IF(COUNTIFS(rating_events!$B$2:$B$13,C110,rating_events!$D$2:$D$13,"rating_upgrade")&gt;0,1,0)</f>
        <v>0</v>
      </c>
      <c r="Q110" s="3">
        <f>IF(COUNTIFS(rating_events!$B$2:$B$13,C110,rating_events!$D$2:$D$13,"rating_downgrade")&gt;0,1,0)</f>
        <v>0</v>
      </c>
      <c r="R110" s="3">
        <f>IF(COUNTIFS(rating_events!$B$2:$B$13,C110,rating_events!$D$2:$D$13,"outlook_improvement")&gt;0,1,0)</f>
        <v>0</v>
      </c>
      <c r="S110" s="3">
        <f>IF(COUNTIFS(rating_events!$B$2:$B$13,C110,rating_events!$D$2:$D$13,"outlook_deterioration")&gt;0,1,0)</f>
        <v>0</v>
      </c>
      <c r="T110" s="5">
        <v>19.194800000000001</v>
      </c>
      <c r="U110" s="5">
        <v>18.227799999999998</v>
      </c>
      <c r="V110" s="3">
        <v>1</v>
      </c>
      <c r="W110" s="3">
        <v>0</v>
      </c>
      <c r="X110" s="3">
        <f t="shared" si="22"/>
        <v>1</v>
      </c>
      <c r="Y110" s="3">
        <f t="shared" si="23"/>
        <v>1</v>
      </c>
    </row>
    <row r="111" spans="1:25" ht="18" customHeight="1">
      <c r="A111" s="3">
        <v>2022</v>
      </c>
      <c r="B111" s="3">
        <v>2</v>
      </c>
      <c r="C111" s="3">
        <f t="shared" si="18"/>
        <v>745</v>
      </c>
      <c r="D111" s="4">
        <v>14367</v>
      </c>
      <c r="E111" s="5">
        <f t="shared" si="19"/>
        <v>3.8325000000000031</v>
      </c>
      <c r="F111" s="5">
        <f>IF(COUNT(flow_components!C111:E111)=3,SUM(flow_components!C111:E111),"")</f>
        <v>24.337846477999996</v>
      </c>
      <c r="G111" s="5">
        <v>127.05923</v>
      </c>
      <c r="H111" s="5">
        <v>96.706999999999994</v>
      </c>
      <c r="I111" s="5">
        <v>1.825</v>
      </c>
      <c r="J111" s="5">
        <v>30.15</v>
      </c>
      <c r="K111" s="5">
        <v>3.5</v>
      </c>
      <c r="L111" s="5">
        <v>0</v>
      </c>
      <c r="M111" s="5">
        <v>0.25</v>
      </c>
      <c r="N111" s="5">
        <f t="shared" si="20"/>
        <v>0.125</v>
      </c>
      <c r="O111" s="5">
        <f t="shared" si="21"/>
        <v>3.375</v>
      </c>
      <c r="P111" s="3">
        <f>IF(COUNTIFS(rating_events!$B$2:$B$13,C111,rating_events!$D$2:$D$13,"rating_upgrade")&gt;0,1,0)</f>
        <v>0</v>
      </c>
      <c r="Q111" s="3">
        <f>IF(COUNTIFS(rating_events!$B$2:$B$13,C111,rating_events!$D$2:$D$13,"rating_downgrade")&gt;0,1,0)</f>
        <v>0</v>
      </c>
      <c r="R111" s="3">
        <f>IF(COUNTIFS(rating_events!$B$2:$B$13,C111,rating_events!$D$2:$D$13,"outlook_improvement")&gt;0,1,0)</f>
        <v>0</v>
      </c>
      <c r="S111" s="3">
        <f>IF(COUNTIFS(rating_events!$B$2:$B$13,C111,rating_events!$D$2:$D$13,"outlook_deterioration")&gt;0,1,0)</f>
        <v>0</v>
      </c>
      <c r="T111" s="5">
        <v>20.515400000000003</v>
      </c>
      <c r="U111" s="5">
        <v>16.6829</v>
      </c>
      <c r="V111" s="3">
        <v>1</v>
      </c>
      <c r="W111" s="3">
        <v>0</v>
      </c>
      <c r="X111" s="3">
        <f t="shared" si="22"/>
        <v>1</v>
      </c>
      <c r="Y111" s="3">
        <f t="shared" si="23"/>
        <v>1</v>
      </c>
    </row>
    <row r="112" spans="1:25" ht="18" customHeight="1">
      <c r="A112" s="3">
        <v>2022</v>
      </c>
      <c r="B112" s="3">
        <v>3</v>
      </c>
      <c r="C112" s="3">
        <f t="shared" si="18"/>
        <v>746</v>
      </c>
      <c r="D112" s="4">
        <v>14369</v>
      </c>
      <c r="E112" s="5">
        <f t="shared" si="19"/>
        <v>4.6304999999999978</v>
      </c>
      <c r="F112" s="5">
        <f>IF(COUNT(flow_components!C112:E112)=3,SUM(flow_components!C112:E112),"")</f>
        <v>-32.682612797999994</v>
      </c>
      <c r="G112" s="5">
        <v>124.79358000000001</v>
      </c>
      <c r="H112" s="5">
        <v>98.311999999999998</v>
      </c>
      <c r="I112" s="5">
        <v>2.3380000000000001</v>
      </c>
      <c r="J112" s="5">
        <v>20.56</v>
      </c>
      <c r="K112" s="5">
        <v>3.5</v>
      </c>
      <c r="L112" s="5">
        <v>0.25</v>
      </c>
      <c r="M112" s="5">
        <v>0.5</v>
      </c>
      <c r="N112" s="5">
        <f t="shared" si="20"/>
        <v>0.375</v>
      </c>
      <c r="O112" s="5">
        <f t="shared" si="21"/>
        <v>3.125</v>
      </c>
      <c r="P112" s="3">
        <f>IF(COUNTIFS(rating_events!$B$2:$B$13,C112,rating_events!$D$2:$D$13,"rating_upgrade")&gt;0,1,0)</f>
        <v>0</v>
      </c>
      <c r="Q112" s="3">
        <f>IF(COUNTIFS(rating_events!$B$2:$B$13,C112,rating_events!$D$2:$D$13,"rating_downgrade")&gt;0,1,0)</f>
        <v>0</v>
      </c>
      <c r="R112" s="3">
        <f>IF(COUNTIFS(rating_events!$B$2:$B$13,C112,rating_events!$D$2:$D$13,"outlook_improvement")&gt;0,1,0)</f>
        <v>0</v>
      </c>
      <c r="S112" s="3">
        <f>IF(COUNTIFS(rating_events!$B$2:$B$13,C112,rating_events!$D$2:$D$13,"outlook_deterioration")&gt;0,1,0)</f>
        <v>0</v>
      </c>
      <c r="T112" s="5">
        <v>26.631799999999998</v>
      </c>
      <c r="U112" s="5">
        <v>22.001300000000001</v>
      </c>
      <c r="V112" s="3">
        <v>1</v>
      </c>
      <c r="W112" s="3">
        <v>0</v>
      </c>
      <c r="X112" s="3">
        <f t="shared" si="22"/>
        <v>1</v>
      </c>
      <c r="Y112" s="3">
        <f t="shared" si="23"/>
        <v>1</v>
      </c>
    </row>
    <row r="113" spans="1:25" ht="18" customHeight="1">
      <c r="A113" s="3">
        <v>2022</v>
      </c>
      <c r="B113" s="3">
        <v>4</v>
      </c>
      <c r="C113" s="3">
        <f t="shared" si="18"/>
        <v>747</v>
      </c>
      <c r="D113" s="4">
        <v>14497</v>
      </c>
      <c r="E113" s="5">
        <f t="shared" si="19"/>
        <v>7.5784999999999982</v>
      </c>
      <c r="F113" s="5">
        <f>IF(COUNT(flow_components!C113:E113)=3,SUM(flow_components!C113:E113),"")</f>
        <v>22.707093927999995</v>
      </c>
      <c r="G113" s="5">
        <v>121.65459</v>
      </c>
      <c r="H113" s="5">
        <v>102.959</v>
      </c>
      <c r="I113" s="5">
        <v>2.9336000000000002</v>
      </c>
      <c r="J113" s="5">
        <v>33.4</v>
      </c>
      <c r="K113" s="5">
        <v>3.5</v>
      </c>
      <c r="L113" s="5">
        <v>0.25</v>
      </c>
      <c r="M113" s="5">
        <v>0.5</v>
      </c>
      <c r="N113" s="5">
        <f t="shared" si="20"/>
        <v>0.375</v>
      </c>
      <c r="O113" s="5">
        <f t="shared" si="21"/>
        <v>3.125</v>
      </c>
      <c r="P113" s="3">
        <f>IF(COUNTIFS(rating_events!$B$2:$B$13,C113,rating_events!$D$2:$D$13,"rating_upgrade")&gt;0,1,0)</f>
        <v>0</v>
      </c>
      <c r="Q113" s="3">
        <f>IF(COUNTIFS(rating_events!$B$2:$B$13,C113,rating_events!$D$2:$D$13,"rating_downgrade")&gt;0,1,0)</f>
        <v>0</v>
      </c>
      <c r="R113" s="3">
        <f>IF(COUNTIFS(rating_events!$B$2:$B$13,C113,rating_events!$D$2:$D$13,"outlook_improvement")&gt;0,1,0)</f>
        <v>1</v>
      </c>
      <c r="S113" s="3">
        <f>IF(COUNTIFS(rating_events!$B$2:$B$13,C113,rating_events!$D$2:$D$13,"outlook_deterioration")&gt;0,1,0)</f>
        <v>0</v>
      </c>
      <c r="T113" s="5">
        <v>27.370999999999999</v>
      </c>
      <c r="U113" s="5">
        <v>19.7925</v>
      </c>
      <c r="V113" s="3">
        <v>1</v>
      </c>
      <c r="W113" s="3">
        <v>0</v>
      </c>
      <c r="X113" s="3">
        <f t="shared" si="22"/>
        <v>1</v>
      </c>
      <c r="Y113" s="3">
        <f t="shared" si="23"/>
        <v>1</v>
      </c>
    </row>
    <row r="114" spans="1:25" ht="18" customHeight="1">
      <c r="A114" s="3">
        <v>2022</v>
      </c>
      <c r="B114" s="3">
        <v>5</v>
      </c>
      <c r="C114" s="3">
        <f t="shared" si="18"/>
        <v>748</v>
      </c>
      <c r="D114" s="4">
        <v>14583</v>
      </c>
      <c r="E114" s="5">
        <f t="shared" si="19"/>
        <v>2.895500000000002</v>
      </c>
      <c r="F114" s="5">
        <f>IF(COUNT(flow_components!C114:E114)=3,SUM(flow_components!C114:E114),"")</f>
        <v>-15.299392715000003</v>
      </c>
      <c r="G114" s="5">
        <v>121.65147</v>
      </c>
      <c r="H114" s="5">
        <v>101.752</v>
      </c>
      <c r="I114" s="5">
        <v>2.8441000000000001</v>
      </c>
      <c r="J114" s="5">
        <v>26.19</v>
      </c>
      <c r="K114" s="5">
        <v>3.5</v>
      </c>
      <c r="L114" s="5">
        <v>0.75</v>
      </c>
      <c r="M114" s="5">
        <v>1</v>
      </c>
      <c r="N114" s="5">
        <f t="shared" si="20"/>
        <v>0.875</v>
      </c>
      <c r="O114" s="5">
        <f t="shared" si="21"/>
        <v>2.625</v>
      </c>
      <c r="P114" s="3">
        <f>IF(COUNTIFS(rating_events!$B$2:$B$13,C114,rating_events!$D$2:$D$13,"rating_upgrade")&gt;0,1,0)</f>
        <v>0</v>
      </c>
      <c r="Q114" s="3">
        <f>IF(COUNTIFS(rating_events!$B$2:$B$13,C114,rating_events!$D$2:$D$13,"rating_downgrade")&gt;0,1,0)</f>
        <v>0</v>
      </c>
      <c r="R114" s="3">
        <f>IF(COUNTIFS(rating_events!$B$2:$B$13,C114,rating_events!$D$2:$D$13,"outlook_improvement")&gt;0,1,0)</f>
        <v>0</v>
      </c>
      <c r="S114" s="3">
        <f>IF(COUNTIFS(rating_events!$B$2:$B$13,C114,rating_events!$D$2:$D$13,"outlook_deterioration")&gt;0,1,0)</f>
        <v>0</v>
      </c>
      <c r="T114" s="5">
        <v>21.534200000000002</v>
      </c>
      <c r="U114" s="5">
        <v>18.6387</v>
      </c>
      <c r="V114" s="3">
        <v>1</v>
      </c>
      <c r="W114" s="3">
        <v>0</v>
      </c>
      <c r="X114" s="3">
        <f t="shared" si="22"/>
        <v>1</v>
      </c>
      <c r="Y114" s="3">
        <f t="shared" si="23"/>
        <v>1</v>
      </c>
    </row>
    <row r="115" spans="1:25" ht="18" customHeight="1">
      <c r="A115" s="3">
        <v>2022</v>
      </c>
      <c r="B115" s="3">
        <v>6</v>
      </c>
      <c r="C115" s="3">
        <f t="shared" si="18"/>
        <v>749</v>
      </c>
      <c r="D115" s="4">
        <v>14898</v>
      </c>
      <c r="E115" s="5">
        <f t="shared" si="19"/>
        <v>5.1357999999999997</v>
      </c>
      <c r="F115" s="5">
        <f>IF(COUNT(flow_components!C115:E115)=3,SUM(flow_components!C115:E115),"")</f>
        <v>-24.278627830999994</v>
      </c>
      <c r="G115" s="5">
        <v>122.68040000000001</v>
      </c>
      <c r="H115" s="5">
        <v>104.685</v>
      </c>
      <c r="I115" s="5">
        <v>3.0129000000000001</v>
      </c>
      <c r="J115" s="5">
        <v>28.71</v>
      </c>
      <c r="K115" s="5">
        <v>3.5</v>
      </c>
      <c r="L115" s="5">
        <v>1.5</v>
      </c>
      <c r="M115" s="5">
        <v>1.75</v>
      </c>
      <c r="N115" s="5">
        <f t="shared" si="20"/>
        <v>1.625</v>
      </c>
      <c r="O115" s="5">
        <f t="shared" si="21"/>
        <v>1.875</v>
      </c>
      <c r="P115" s="3">
        <f>IF(COUNTIFS(rating_events!$B$2:$B$13,C115,rating_events!$D$2:$D$13,"rating_upgrade")&gt;0,1,0)</f>
        <v>0</v>
      </c>
      <c r="Q115" s="3">
        <f>IF(COUNTIFS(rating_events!$B$2:$B$13,C115,rating_events!$D$2:$D$13,"rating_downgrade")&gt;0,1,0)</f>
        <v>0</v>
      </c>
      <c r="R115" s="3">
        <f>IF(COUNTIFS(rating_events!$B$2:$B$13,C115,rating_events!$D$2:$D$13,"outlook_improvement")&gt;0,1,0)</f>
        <v>0</v>
      </c>
      <c r="S115" s="3">
        <f>IF(COUNTIFS(rating_events!$B$2:$B$13,C115,rating_events!$D$2:$D$13,"outlook_deterioration")&gt;0,1,0)</f>
        <v>0</v>
      </c>
      <c r="T115" s="5">
        <v>26.165299999999998</v>
      </c>
      <c r="U115" s="5">
        <v>21.029499999999999</v>
      </c>
      <c r="V115" s="3">
        <v>1</v>
      </c>
      <c r="W115" s="3">
        <v>0</v>
      </c>
      <c r="X115" s="3">
        <f t="shared" si="22"/>
        <v>1</v>
      </c>
      <c r="Y115" s="3">
        <f t="shared" si="23"/>
        <v>1</v>
      </c>
    </row>
    <row r="116" spans="1:25" ht="18" customHeight="1">
      <c r="A116" s="3">
        <v>2022</v>
      </c>
      <c r="B116" s="3">
        <v>7</v>
      </c>
      <c r="C116" s="3">
        <f t="shared" si="18"/>
        <v>750</v>
      </c>
      <c r="D116" s="4">
        <v>14833</v>
      </c>
      <c r="E116" s="5">
        <f t="shared" si="19"/>
        <v>4.16</v>
      </c>
      <c r="F116" s="5">
        <f>IF(COUNT(flow_components!C116:E116)=3,SUM(flow_components!C116:E116),"")</f>
        <v>-31.230259381999996</v>
      </c>
      <c r="G116" s="5">
        <v>118.71978</v>
      </c>
      <c r="H116" s="5">
        <v>105.90300000000001</v>
      </c>
      <c r="I116" s="5">
        <v>2.6486999999999998</v>
      </c>
      <c r="J116" s="5">
        <v>21.33</v>
      </c>
      <c r="K116" s="5">
        <v>3.5</v>
      </c>
      <c r="L116" s="5">
        <v>2.25</v>
      </c>
      <c r="M116" s="5">
        <v>2.5</v>
      </c>
      <c r="N116" s="5">
        <f t="shared" si="20"/>
        <v>2.375</v>
      </c>
      <c r="O116" s="5">
        <f t="shared" si="21"/>
        <v>1.125</v>
      </c>
      <c r="P116" s="3">
        <f>IF(COUNTIFS(rating_events!$B$2:$B$13,C116,rating_events!$D$2:$D$13,"rating_upgrade")&gt;0,1,0)</f>
        <v>0</v>
      </c>
      <c r="Q116" s="3">
        <f>IF(COUNTIFS(rating_events!$B$2:$B$13,C116,rating_events!$D$2:$D$13,"rating_downgrade")&gt;0,1,0)</f>
        <v>0</v>
      </c>
      <c r="R116" s="3">
        <f>IF(COUNTIFS(rating_events!$B$2:$B$13,C116,rating_events!$D$2:$D$13,"outlook_improvement")&gt;0,1,0)</f>
        <v>0</v>
      </c>
      <c r="S116" s="3">
        <f>IF(COUNTIFS(rating_events!$B$2:$B$13,C116,rating_events!$D$2:$D$13,"outlook_deterioration")&gt;0,1,0)</f>
        <v>0</v>
      </c>
      <c r="T116" s="5">
        <v>25.521900000000002</v>
      </c>
      <c r="U116" s="5">
        <v>21.361900000000002</v>
      </c>
      <c r="V116" s="3">
        <v>1</v>
      </c>
      <c r="W116" s="3">
        <v>0</v>
      </c>
      <c r="X116" s="3">
        <f t="shared" si="22"/>
        <v>1</v>
      </c>
      <c r="Y116" s="3">
        <f t="shared" si="23"/>
        <v>1</v>
      </c>
    </row>
    <row r="117" spans="1:25" ht="18" customHeight="1">
      <c r="A117" s="3">
        <v>2022</v>
      </c>
      <c r="B117" s="3">
        <v>8</v>
      </c>
      <c r="C117" s="3">
        <f t="shared" si="18"/>
        <v>751</v>
      </c>
      <c r="D117" s="4">
        <v>14843</v>
      </c>
      <c r="E117" s="5">
        <f t="shared" si="19"/>
        <v>5.6404000000000032</v>
      </c>
      <c r="F117" s="5">
        <f>IF(COUNT(flow_components!C117:E117)=3,SUM(flow_components!C117:E117),"")</f>
        <v>16.135332719999994</v>
      </c>
      <c r="G117" s="5">
        <v>118.93616</v>
      </c>
      <c r="H117" s="5">
        <v>108.7</v>
      </c>
      <c r="I117" s="5">
        <v>3.1926000000000001</v>
      </c>
      <c r="J117" s="5">
        <v>25.87</v>
      </c>
      <c r="K117" s="5">
        <v>3.75</v>
      </c>
      <c r="L117" s="5">
        <v>2.25</v>
      </c>
      <c r="M117" s="5">
        <v>2.5</v>
      </c>
      <c r="N117" s="5">
        <f t="shared" si="20"/>
        <v>2.375</v>
      </c>
      <c r="O117" s="5">
        <f t="shared" si="21"/>
        <v>1.375</v>
      </c>
      <c r="P117" s="3">
        <f>IF(COUNTIFS(rating_events!$B$2:$B$13,C117,rating_events!$D$2:$D$13,"rating_upgrade")&gt;0,1,0)</f>
        <v>0</v>
      </c>
      <c r="Q117" s="3">
        <f>IF(COUNTIFS(rating_events!$B$2:$B$13,C117,rating_events!$D$2:$D$13,"rating_downgrade")&gt;0,1,0)</f>
        <v>0</v>
      </c>
      <c r="R117" s="3">
        <f>IF(COUNTIFS(rating_events!$B$2:$B$13,C117,rating_events!$D$2:$D$13,"outlook_improvement")&gt;0,1,0)</f>
        <v>0</v>
      </c>
      <c r="S117" s="3">
        <f>IF(COUNTIFS(rating_events!$B$2:$B$13,C117,rating_events!$D$2:$D$13,"outlook_deterioration")&gt;0,1,0)</f>
        <v>0</v>
      </c>
      <c r="T117" s="5">
        <v>27.840700000000002</v>
      </c>
      <c r="U117" s="5">
        <v>22.200299999999999</v>
      </c>
      <c r="V117" s="3">
        <v>1</v>
      </c>
      <c r="W117" s="3">
        <v>0</v>
      </c>
      <c r="X117" s="3">
        <f t="shared" si="22"/>
        <v>1</v>
      </c>
      <c r="Y117" s="3">
        <f t="shared" si="23"/>
        <v>1</v>
      </c>
    </row>
    <row r="118" spans="1:25" ht="18" customHeight="1">
      <c r="A118" s="3">
        <v>2022</v>
      </c>
      <c r="B118" s="3">
        <v>9</v>
      </c>
      <c r="C118" s="3">
        <f t="shared" si="18"/>
        <v>752</v>
      </c>
      <c r="D118" s="4">
        <v>15228</v>
      </c>
      <c r="E118" s="5">
        <f t="shared" si="19"/>
        <v>4.8655000000000008</v>
      </c>
      <c r="F118" s="5">
        <f>IF(COUNT(flow_components!C118:E118)=3,SUM(flow_components!C118:E118),"")</f>
        <v>-26.200815546999994</v>
      </c>
      <c r="G118" s="5">
        <v>117.8254</v>
      </c>
      <c r="H118" s="5">
        <v>112.117</v>
      </c>
      <c r="I118" s="5">
        <v>3.8285999999999998</v>
      </c>
      <c r="J118" s="5">
        <v>31.62</v>
      </c>
      <c r="K118" s="5">
        <v>4.25</v>
      </c>
      <c r="L118" s="5">
        <v>3</v>
      </c>
      <c r="M118" s="5">
        <v>3.25</v>
      </c>
      <c r="N118" s="5">
        <f t="shared" si="20"/>
        <v>3.125</v>
      </c>
      <c r="O118" s="5">
        <f t="shared" si="21"/>
        <v>1.125</v>
      </c>
      <c r="P118" s="3">
        <f>IF(COUNTIFS(rating_events!$B$2:$B$13,C118,rating_events!$D$2:$D$13,"rating_upgrade")&gt;0,1,0)</f>
        <v>0</v>
      </c>
      <c r="Q118" s="3">
        <f>IF(COUNTIFS(rating_events!$B$2:$B$13,C118,rating_events!$D$2:$D$13,"rating_downgrade")&gt;0,1,0)</f>
        <v>0</v>
      </c>
      <c r="R118" s="3">
        <f>IF(COUNTIFS(rating_events!$B$2:$B$13,C118,rating_events!$D$2:$D$13,"outlook_improvement")&gt;0,1,0)</f>
        <v>0</v>
      </c>
      <c r="S118" s="3">
        <f>IF(COUNTIFS(rating_events!$B$2:$B$13,C118,rating_events!$D$2:$D$13,"outlook_deterioration")&gt;0,1,0)</f>
        <v>0</v>
      </c>
      <c r="T118" s="5">
        <v>24.7453</v>
      </c>
      <c r="U118" s="5">
        <v>19.879799999999999</v>
      </c>
      <c r="V118" s="3">
        <v>1</v>
      </c>
      <c r="W118" s="3">
        <v>0</v>
      </c>
      <c r="X118" s="3">
        <f t="shared" si="22"/>
        <v>1</v>
      </c>
      <c r="Y118" s="3">
        <f t="shared" si="23"/>
        <v>1</v>
      </c>
    </row>
    <row r="119" spans="1:25" ht="18" customHeight="1">
      <c r="A119" s="3">
        <v>2022</v>
      </c>
      <c r="B119" s="3">
        <v>10</v>
      </c>
      <c r="C119" s="3">
        <f t="shared" si="18"/>
        <v>753</v>
      </c>
      <c r="D119" s="4">
        <v>15598</v>
      </c>
      <c r="E119" s="5">
        <f t="shared" si="19"/>
        <v>5.5731999999999999</v>
      </c>
      <c r="F119" s="5">
        <f>IF(COUNT(flow_components!C119:E119)=3,SUM(flow_components!C119:E119),"")</f>
        <v>-5.7520912059999958</v>
      </c>
      <c r="G119" s="5">
        <v>117.29498</v>
      </c>
      <c r="H119" s="5">
        <v>111.527</v>
      </c>
      <c r="I119" s="5">
        <v>4.0477999999999996</v>
      </c>
      <c r="J119" s="5">
        <v>25.88</v>
      </c>
      <c r="K119" s="5">
        <v>4.75</v>
      </c>
      <c r="L119" s="5">
        <v>3</v>
      </c>
      <c r="M119" s="5">
        <v>3.25</v>
      </c>
      <c r="N119" s="5">
        <f t="shared" si="20"/>
        <v>3.125</v>
      </c>
      <c r="O119" s="5">
        <f t="shared" si="21"/>
        <v>1.625</v>
      </c>
      <c r="P119" s="3">
        <f>IF(COUNTIFS(rating_events!$B$2:$B$13,C119,rating_events!$D$2:$D$13,"rating_upgrade")&gt;0,1,0)</f>
        <v>0</v>
      </c>
      <c r="Q119" s="3">
        <f>IF(COUNTIFS(rating_events!$B$2:$B$13,C119,rating_events!$D$2:$D$13,"rating_downgrade")&gt;0,1,0)</f>
        <v>0</v>
      </c>
      <c r="R119" s="3">
        <f>IF(COUNTIFS(rating_events!$B$2:$B$13,C119,rating_events!$D$2:$D$13,"outlook_improvement")&gt;0,1,0)</f>
        <v>0</v>
      </c>
      <c r="S119" s="3">
        <f>IF(COUNTIFS(rating_events!$B$2:$B$13,C119,rating_events!$D$2:$D$13,"outlook_deterioration")&gt;0,1,0)</f>
        <v>0</v>
      </c>
      <c r="T119" s="5">
        <v>24.740299999999998</v>
      </c>
      <c r="U119" s="5">
        <v>19.167099999999998</v>
      </c>
      <c r="V119" s="3">
        <v>1</v>
      </c>
      <c r="W119" s="3">
        <v>0</v>
      </c>
      <c r="X119" s="3">
        <f t="shared" si="22"/>
        <v>1</v>
      </c>
      <c r="Y119" s="3">
        <f t="shared" si="23"/>
        <v>1</v>
      </c>
    </row>
    <row r="120" spans="1:25" ht="18" customHeight="1">
      <c r="A120" s="3">
        <v>2022</v>
      </c>
      <c r="B120" s="3">
        <v>11</v>
      </c>
      <c r="C120" s="3">
        <f t="shared" si="18"/>
        <v>754</v>
      </c>
      <c r="D120" s="4">
        <v>15732</v>
      </c>
      <c r="E120" s="5">
        <f t="shared" si="19"/>
        <v>5.0776000000000003</v>
      </c>
      <c r="F120" s="5">
        <f>IF(COUNT(flow_components!C120:E120)=3,SUM(flow_components!C120:E120),"")</f>
        <v>24.434880506999999</v>
      </c>
      <c r="G120" s="5">
        <v>120.62472</v>
      </c>
      <c r="H120" s="5">
        <v>105.95</v>
      </c>
      <c r="I120" s="5">
        <v>3.6053999999999999</v>
      </c>
      <c r="J120" s="5">
        <v>20.58</v>
      </c>
      <c r="K120" s="5">
        <v>5.25</v>
      </c>
      <c r="L120" s="5">
        <v>3.75</v>
      </c>
      <c r="M120" s="5">
        <v>4</v>
      </c>
      <c r="N120" s="5">
        <f t="shared" si="20"/>
        <v>3.875</v>
      </c>
      <c r="O120" s="5">
        <f t="shared" si="21"/>
        <v>1.375</v>
      </c>
      <c r="P120" s="3">
        <f>IF(COUNTIFS(rating_events!$B$2:$B$13,C120,rating_events!$D$2:$D$13,"rating_upgrade")&gt;0,1,0)</f>
        <v>0</v>
      </c>
      <c r="Q120" s="3">
        <f>IF(COUNTIFS(rating_events!$B$2:$B$13,C120,rating_events!$D$2:$D$13,"rating_downgrade")&gt;0,1,0)</f>
        <v>0</v>
      </c>
      <c r="R120" s="3">
        <f>IF(COUNTIFS(rating_events!$B$2:$B$13,C120,rating_events!$D$2:$D$13,"outlook_improvement")&gt;0,1,0)</f>
        <v>0</v>
      </c>
      <c r="S120" s="3">
        <f>IF(COUNTIFS(rating_events!$B$2:$B$13,C120,rating_events!$D$2:$D$13,"outlook_deterioration")&gt;0,1,0)</f>
        <v>0</v>
      </c>
      <c r="T120" s="5">
        <v>24.1127</v>
      </c>
      <c r="U120" s="5">
        <v>19.0351</v>
      </c>
      <c r="V120" s="3">
        <v>1</v>
      </c>
      <c r="W120" s="3">
        <v>0</v>
      </c>
      <c r="X120" s="3">
        <f t="shared" si="22"/>
        <v>1</v>
      </c>
      <c r="Y120" s="3">
        <f t="shared" si="23"/>
        <v>1</v>
      </c>
    </row>
    <row r="121" spans="1:25" ht="18" customHeight="1">
      <c r="A121" s="3">
        <v>2022</v>
      </c>
      <c r="B121" s="3">
        <v>12</v>
      </c>
      <c r="C121" s="3">
        <f t="shared" si="18"/>
        <v>755</v>
      </c>
      <c r="D121" s="4">
        <v>15568</v>
      </c>
      <c r="E121" s="5">
        <f t="shared" si="19"/>
        <v>3.8947000000000003</v>
      </c>
      <c r="F121" s="5">
        <f>IF(COUNT(flow_components!C121:E121)=3,SUM(flow_components!C121:E121),"")</f>
        <v>4.3501879799999976</v>
      </c>
      <c r="G121" s="5">
        <v>123.57367000000001</v>
      </c>
      <c r="H121" s="5">
        <v>103.52200000000001</v>
      </c>
      <c r="I121" s="5">
        <v>3.8748</v>
      </c>
      <c r="J121" s="5">
        <v>21.67</v>
      </c>
      <c r="K121" s="5">
        <v>5.5</v>
      </c>
      <c r="L121" s="5">
        <v>4.25</v>
      </c>
      <c r="M121" s="5">
        <v>4.5</v>
      </c>
      <c r="N121" s="5">
        <f t="shared" si="20"/>
        <v>4.375</v>
      </c>
      <c r="O121" s="5">
        <f t="shared" si="21"/>
        <v>1.125</v>
      </c>
      <c r="P121" s="3">
        <f>IF(COUNTIFS(rating_events!$B$2:$B$13,C121,rating_events!$D$2:$D$13,"rating_upgrade")&gt;0,1,0)</f>
        <v>0</v>
      </c>
      <c r="Q121" s="3">
        <f>IF(COUNTIFS(rating_events!$B$2:$B$13,C121,rating_events!$D$2:$D$13,"rating_downgrade")&gt;0,1,0)</f>
        <v>0</v>
      </c>
      <c r="R121" s="3">
        <f>IF(COUNTIFS(rating_events!$B$2:$B$13,C121,rating_events!$D$2:$D$13,"outlook_improvement")&gt;0,1,0)</f>
        <v>0</v>
      </c>
      <c r="S121" s="3">
        <f>IF(COUNTIFS(rating_events!$B$2:$B$13,C121,rating_events!$D$2:$D$13,"outlook_deterioration")&gt;0,1,0)</f>
        <v>0</v>
      </c>
      <c r="T121" s="5">
        <v>23.813299999999998</v>
      </c>
      <c r="U121" s="5">
        <v>19.918599999999998</v>
      </c>
      <c r="V121" s="3">
        <v>1</v>
      </c>
      <c r="W121" s="3">
        <v>0</v>
      </c>
      <c r="X121" s="3">
        <f t="shared" si="22"/>
        <v>1</v>
      </c>
      <c r="Y121" s="3">
        <f t="shared" si="23"/>
        <v>1</v>
      </c>
    </row>
    <row r="122" spans="1:25" ht="18" customHeight="1">
      <c r="A122" s="3">
        <v>2023</v>
      </c>
      <c r="B122" s="3">
        <v>1</v>
      </c>
      <c r="C122" s="3">
        <f t="shared" si="18"/>
        <v>756</v>
      </c>
      <c r="D122" s="4">
        <v>14990</v>
      </c>
      <c r="E122" s="5">
        <f t="shared" si="19"/>
        <v>3.8061999999999969</v>
      </c>
      <c r="F122" s="5">
        <f>IF(COUNT(flow_components!C122:E122)=3,SUM(flow_components!C122:E122),"")</f>
        <v>46.487056977000002</v>
      </c>
      <c r="G122" s="5">
        <v>125.34529999999999</v>
      </c>
      <c r="H122" s="5">
        <v>102.09699999999999</v>
      </c>
      <c r="I122" s="5">
        <v>3.5068999999999999</v>
      </c>
      <c r="J122" s="5">
        <v>19.399999999999999</v>
      </c>
      <c r="K122" s="5">
        <v>5.75</v>
      </c>
      <c r="L122" s="5">
        <v>4.25</v>
      </c>
      <c r="M122" s="5">
        <v>4.5</v>
      </c>
      <c r="N122" s="5">
        <f t="shared" si="20"/>
        <v>4.375</v>
      </c>
      <c r="O122" s="5">
        <f t="shared" si="21"/>
        <v>1.375</v>
      </c>
      <c r="P122" s="3">
        <f>IF(COUNTIFS(rating_events!$B$2:$B$13,C122,rating_events!$D$2:$D$13,"rating_upgrade")&gt;0,1,0)</f>
        <v>0</v>
      </c>
      <c r="Q122" s="3">
        <f>IF(COUNTIFS(rating_events!$B$2:$B$13,C122,rating_events!$D$2:$D$13,"rating_downgrade")&gt;0,1,0)</f>
        <v>0</v>
      </c>
      <c r="R122" s="3">
        <f>IF(COUNTIFS(rating_events!$B$2:$B$13,C122,rating_events!$D$2:$D$13,"outlook_improvement")&gt;0,1,0)</f>
        <v>0</v>
      </c>
      <c r="S122" s="3">
        <f>IF(COUNTIFS(rating_events!$B$2:$B$13,C122,rating_events!$D$2:$D$13,"outlook_deterioration")&gt;0,1,0)</f>
        <v>0</v>
      </c>
      <c r="T122" s="5">
        <v>22.3446</v>
      </c>
      <c r="U122" s="5">
        <v>18.538400000000003</v>
      </c>
      <c r="V122" s="3">
        <v>1</v>
      </c>
      <c r="W122" s="3">
        <v>0</v>
      </c>
      <c r="X122" s="3">
        <f t="shared" si="22"/>
        <v>1</v>
      </c>
      <c r="Y122" s="3">
        <f t="shared" si="23"/>
        <v>1</v>
      </c>
    </row>
    <row r="123" spans="1:25" ht="18" customHeight="1">
      <c r="A123" s="3">
        <v>2023</v>
      </c>
      <c r="B123" s="3">
        <v>2</v>
      </c>
      <c r="C123" s="3">
        <f t="shared" si="18"/>
        <v>757</v>
      </c>
      <c r="D123" s="4">
        <v>15250</v>
      </c>
      <c r="E123" s="5">
        <f t="shared" si="19"/>
        <v>5.3768000000000029</v>
      </c>
      <c r="F123" s="5">
        <f>IF(COUNT(flow_components!C123:E123)=3,SUM(flow_components!C123:E123),"")</f>
        <v>-1.860987337000001</v>
      </c>
      <c r="G123" s="5">
        <v>126.65204</v>
      </c>
      <c r="H123" s="5">
        <v>104.869</v>
      </c>
      <c r="I123" s="5">
        <v>3.92</v>
      </c>
      <c r="J123" s="5">
        <v>20.7</v>
      </c>
      <c r="K123" s="5">
        <v>5.75</v>
      </c>
      <c r="L123" s="5">
        <v>4.5</v>
      </c>
      <c r="M123" s="5">
        <v>4.75</v>
      </c>
      <c r="N123" s="5">
        <f t="shared" si="20"/>
        <v>4.625</v>
      </c>
      <c r="O123" s="5">
        <f t="shared" si="21"/>
        <v>1.125</v>
      </c>
      <c r="P123" s="3">
        <f>IF(COUNTIFS(rating_events!$B$2:$B$13,C123,rating_events!$D$2:$D$13,"rating_upgrade")&gt;0,1,0)</f>
        <v>0</v>
      </c>
      <c r="Q123" s="3">
        <f>IF(COUNTIFS(rating_events!$B$2:$B$13,C123,rating_events!$D$2:$D$13,"rating_downgrade")&gt;0,1,0)</f>
        <v>0</v>
      </c>
      <c r="R123" s="3">
        <f>IF(COUNTIFS(rating_events!$B$2:$B$13,C123,rating_events!$D$2:$D$13,"outlook_improvement")&gt;0,1,0)</f>
        <v>0</v>
      </c>
      <c r="S123" s="3">
        <f>IF(COUNTIFS(rating_events!$B$2:$B$13,C123,rating_events!$D$2:$D$13,"outlook_deterioration")&gt;0,1,0)</f>
        <v>0</v>
      </c>
      <c r="T123" s="5">
        <v>21.355400000000003</v>
      </c>
      <c r="U123" s="5">
        <v>15.9786</v>
      </c>
      <c r="V123" s="3">
        <v>1</v>
      </c>
      <c r="W123" s="3">
        <v>0</v>
      </c>
      <c r="X123" s="3">
        <f t="shared" si="22"/>
        <v>1</v>
      </c>
      <c r="Y123" s="3">
        <f t="shared" si="23"/>
        <v>1</v>
      </c>
    </row>
    <row r="124" spans="1:25" ht="18" customHeight="1">
      <c r="A124" s="3">
        <v>2023</v>
      </c>
      <c r="B124" s="3">
        <v>3</v>
      </c>
      <c r="C124" s="3">
        <f t="shared" si="18"/>
        <v>758</v>
      </c>
      <c r="D124" s="4">
        <v>14995</v>
      </c>
      <c r="E124" s="5">
        <f t="shared" si="19"/>
        <v>2.7370000000000019</v>
      </c>
      <c r="F124" s="5">
        <f>IF(COUNT(flow_components!C124:E124)=3,SUM(flow_components!C124:E124),"")</f>
        <v>18.413779535</v>
      </c>
      <c r="G124" s="5">
        <v>131.01920000000001</v>
      </c>
      <c r="H124" s="5">
        <v>102.506</v>
      </c>
      <c r="I124" s="5">
        <v>3.4676</v>
      </c>
      <c r="J124" s="5">
        <v>18.7</v>
      </c>
      <c r="K124" s="5">
        <v>5.75</v>
      </c>
      <c r="L124" s="5">
        <v>4.75</v>
      </c>
      <c r="M124" s="5">
        <v>5</v>
      </c>
      <c r="N124" s="5">
        <f t="shared" si="20"/>
        <v>4.875</v>
      </c>
      <c r="O124" s="5">
        <f t="shared" si="21"/>
        <v>0.875</v>
      </c>
      <c r="P124" s="3">
        <f>IF(COUNTIFS(rating_events!$B$2:$B$13,C124,rating_events!$D$2:$D$13,"rating_upgrade")&gt;0,1,0)</f>
        <v>0</v>
      </c>
      <c r="Q124" s="3">
        <f>IF(COUNTIFS(rating_events!$B$2:$B$13,C124,rating_events!$D$2:$D$13,"rating_downgrade")&gt;0,1,0)</f>
        <v>0</v>
      </c>
      <c r="R124" s="3">
        <f>IF(COUNTIFS(rating_events!$B$2:$B$13,C124,rating_events!$D$2:$D$13,"outlook_improvement")&gt;0,1,0)</f>
        <v>0</v>
      </c>
      <c r="S124" s="3">
        <f>IF(COUNTIFS(rating_events!$B$2:$B$13,C124,rating_events!$D$2:$D$13,"outlook_deterioration")&gt;0,1,0)</f>
        <v>0</v>
      </c>
      <c r="T124" s="5">
        <v>23.452500000000001</v>
      </c>
      <c r="U124" s="5">
        <v>20.715499999999999</v>
      </c>
      <c r="V124" s="3">
        <v>1</v>
      </c>
      <c r="W124" s="3">
        <v>0</v>
      </c>
      <c r="X124" s="3">
        <f t="shared" si="22"/>
        <v>1</v>
      </c>
      <c r="Y124" s="3">
        <f t="shared" si="23"/>
        <v>1</v>
      </c>
    </row>
    <row r="125" spans="1:25" ht="18" customHeight="1">
      <c r="A125" s="3">
        <v>2023</v>
      </c>
      <c r="B125" s="3">
        <v>4</v>
      </c>
      <c r="C125" s="3">
        <f t="shared" si="18"/>
        <v>759</v>
      </c>
      <c r="D125" s="4">
        <v>14670</v>
      </c>
      <c r="E125" s="5">
        <f t="shared" si="19"/>
        <v>3.8923999999999985</v>
      </c>
      <c r="F125" s="5">
        <f>IF(COUNT(flow_components!C125:E125)=3,SUM(flow_components!C125:E125),"")</f>
        <v>16.004646772000001</v>
      </c>
      <c r="G125" s="5">
        <v>129.92278999999999</v>
      </c>
      <c r="H125" s="5">
        <v>101.65900000000001</v>
      </c>
      <c r="I125" s="5">
        <v>3.4220000000000002</v>
      </c>
      <c r="J125" s="5">
        <v>15.78</v>
      </c>
      <c r="K125" s="5">
        <v>5.75</v>
      </c>
      <c r="L125" s="5">
        <v>4.75</v>
      </c>
      <c r="M125" s="5">
        <v>5</v>
      </c>
      <c r="N125" s="5">
        <f t="shared" si="20"/>
        <v>4.875</v>
      </c>
      <c r="O125" s="5">
        <f t="shared" si="21"/>
        <v>0.875</v>
      </c>
      <c r="P125" s="3">
        <f>IF(COUNTIFS(rating_events!$B$2:$B$13,C125,rating_events!$D$2:$D$13,"rating_upgrade")&gt;0,1,0)</f>
        <v>0</v>
      </c>
      <c r="Q125" s="3">
        <f>IF(COUNTIFS(rating_events!$B$2:$B$13,C125,rating_events!$D$2:$D$13,"rating_downgrade")&gt;0,1,0)</f>
        <v>0</v>
      </c>
      <c r="R125" s="3">
        <f>IF(COUNTIFS(rating_events!$B$2:$B$13,C125,rating_events!$D$2:$D$13,"outlook_improvement")&gt;0,1,0)</f>
        <v>0</v>
      </c>
      <c r="S125" s="3">
        <f>IF(COUNTIFS(rating_events!$B$2:$B$13,C125,rating_events!$D$2:$D$13,"outlook_deterioration")&gt;0,1,0)</f>
        <v>0</v>
      </c>
      <c r="T125" s="5">
        <v>19.354099999999999</v>
      </c>
      <c r="U125" s="5">
        <v>15.4617</v>
      </c>
      <c r="V125" s="3">
        <v>1</v>
      </c>
      <c r="W125" s="3">
        <v>0</v>
      </c>
      <c r="X125" s="3">
        <f t="shared" si="22"/>
        <v>1</v>
      </c>
      <c r="Y125" s="3">
        <f t="shared" si="23"/>
        <v>1</v>
      </c>
    </row>
    <row r="126" spans="1:25" ht="18" customHeight="1">
      <c r="A126" s="3">
        <v>2023</v>
      </c>
      <c r="B126" s="3">
        <v>5</v>
      </c>
      <c r="C126" s="3">
        <f t="shared" si="18"/>
        <v>760</v>
      </c>
      <c r="D126" s="4">
        <v>14993</v>
      </c>
      <c r="E126" s="5">
        <f t="shared" si="19"/>
        <v>0.3791000000000011</v>
      </c>
      <c r="F126" s="5">
        <f>IF(COUNT(flow_components!C126:E126)=3,SUM(flow_components!C126:E126),"")</f>
        <v>0.8309986710000008</v>
      </c>
      <c r="G126" s="5">
        <v>125.24042</v>
      </c>
      <c r="H126" s="5">
        <v>104.32599999999999</v>
      </c>
      <c r="I126" s="5">
        <v>3.6425999999999998</v>
      </c>
      <c r="J126" s="5">
        <v>17.940000000000001</v>
      </c>
      <c r="K126" s="5">
        <v>5.75</v>
      </c>
      <c r="L126" s="5">
        <v>5</v>
      </c>
      <c r="M126" s="5">
        <v>5.25</v>
      </c>
      <c r="N126" s="5">
        <f t="shared" si="20"/>
        <v>5.125</v>
      </c>
      <c r="O126" s="5">
        <f t="shared" si="21"/>
        <v>0.625</v>
      </c>
      <c r="P126" s="3">
        <f>IF(COUNTIFS(rating_events!$B$2:$B$13,C126,rating_events!$D$2:$D$13,"rating_upgrade")&gt;0,1,0)</f>
        <v>0</v>
      </c>
      <c r="Q126" s="3">
        <f>IF(COUNTIFS(rating_events!$B$2:$B$13,C126,rating_events!$D$2:$D$13,"rating_downgrade")&gt;0,1,0)</f>
        <v>0</v>
      </c>
      <c r="R126" s="3">
        <f>IF(COUNTIFS(rating_events!$B$2:$B$13,C126,rating_events!$D$2:$D$13,"outlook_improvement")&gt;0,1,0)</f>
        <v>0</v>
      </c>
      <c r="S126" s="3">
        <f>IF(COUNTIFS(rating_events!$B$2:$B$13,C126,rating_events!$D$2:$D$13,"outlook_deterioration")&gt;0,1,0)</f>
        <v>0</v>
      </c>
      <c r="T126" s="5">
        <v>21.789000000000001</v>
      </c>
      <c r="U126" s="5">
        <v>21.4099</v>
      </c>
      <c r="V126" s="3">
        <v>1</v>
      </c>
      <c r="W126" s="3">
        <v>0</v>
      </c>
      <c r="X126" s="3">
        <f t="shared" si="22"/>
        <v>1</v>
      </c>
      <c r="Y126" s="3">
        <f t="shared" si="23"/>
        <v>1</v>
      </c>
    </row>
    <row r="127" spans="1:25" ht="18" customHeight="1">
      <c r="A127" s="3">
        <v>2023</v>
      </c>
      <c r="B127" s="3">
        <v>6</v>
      </c>
      <c r="C127" s="3">
        <f t="shared" si="18"/>
        <v>761</v>
      </c>
      <c r="D127" s="4">
        <v>14993</v>
      </c>
      <c r="E127" s="5">
        <f t="shared" si="19"/>
        <v>3.4159000000000042</v>
      </c>
      <c r="F127" s="5">
        <f>IF(COUNT(flow_components!C127:E127)=3,SUM(flow_components!C127:E127),"")</f>
        <v>11.573009035999998</v>
      </c>
      <c r="G127" s="5">
        <v>123.55246</v>
      </c>
      <c r="H127" s="5">
        <v>102.91200000000001</v>
      </c>
      <c r="I127" s="5">
        <v>3.8367</v>
      </c>
      <c r="J127" s="5">
        <v>13.59</v>
      </c>
      <c r="K127" s="5">
        <v>5.75</v>
      </c>
      <c r="L127" s="5">
        <v>5</v>
      </c>
      <c r="M127" s="5">
        <v>5.25</v>
      </c>
      <c r="N127" s="5">
        <f t="shared" si="20"/>
        <v>5.125</v>
      </c>
      <c r="O127" s="5">
        <f t="shared" si="21"/>
        <v>0.625</v>
      </c>
      <c r="P127" s="3">
        <f>IF(COUNTIFS(rating_events!$B$2:$B$13,C127,rating_events!$D$2:$D$13,"rating_upgrade")&gt;0,1,0)</f>
        <v>0</v>
      </c>
      <c r="Q127" s="3">
        <f>IF(COUNTIFS(rating_events!$B$2:$B$13,C127,rating_events!$D$2:$D$13,"rating_downgrade")&gt;0,1,0)</f>
        <v>0</v>
      </c>
      <c r="R127" s="3">
        <f>IF(COUNTIFS(rating_events!$B$2:$B$13,C127,rating_events!$D$2:$D$13,"outlook_improvement")&gt;0,1,0)</f>
        <v>0</v>
      </c>
      <c r="S127" s="3">
        <f>IF(COUNTIFS(rating_events!$B$2:$B$13,C127,rating_events!$D$2:$D$13,"outlook_deterioration")&gt;0,1,0)</f>
        <v>0</v>
      </c>
      <c r="T127" s="5">
        <v>20.667000000000002</v>
      </c>
      <c r="U127" s="5">
        <v>17.251099999999997</v>
      </c>
      <c r="V127" s="3">
        <v>1</v>
      </c>
      <c r="W127" s="3">
        <v>0</v>
      </c>
      <c r="X127" s="3">
        <f t="shared" si="22"/>
        <v>1</v>
      </c>
      <c r="Y127" s="3">
        <f t="shared" si="23"/>
        <v>1</v>
      </c>
    </row>
    <row r="128" spans="1:25" ht="18" customHeight="1">
      <c r="A128" s="3">
        <v>2023</v>
      </c>
      <c r="B128" s="3">
        <v>7</v>
      </c>
      <c r="C128" s="3">
        <f t="shared" si="18"/>
        <v>762</v>
      </c>
      <c r="D128" s="4">
        <v>15080</v>
      </c>
      <c r="E128" s="5">
        <f t="shared" si="19"/>
        <v>1.2862999999999971</v>
      </c>
      <c r="F128" s="5">
        <f>IF(COUNT(flow_components!C128:E128)=3,SUM(flow_components!C128:E128),"")</f>
        <v>11.505287087999999</v>
      </c>
      <c r="G128" s="5">
        <v>123.56816000000001</v>
      </c>
      <c r="H128" s="5">
        <v>101.855</v>
      </c>
      <c r="I128" s="5">
        <v>3.9588000000000001</v>
      </c>
      <c r="J128" s="5">
        <v>13.63</v>
      </c>
      <c r="K128" s="5">
        <v>5.75</v>
      </c>
      <c r="L128" s="5">
        <v>5.25</v>
      </c>
      <c r="M128" s="5">
        <v>5.5</v>
      </c>
      <c r="N128" s="5">
        <f t="shared" si="20"/>
        <v>5.375</v>
      </c>
      <c r="O128" s="5">
        <f t="shared" si="21"/>
        <v>0.375</v>
      </c>
      <c r="P128" s="3">
        <f>IF(COUNTIFS(rating_events!$B$2:$B$13,C128,rating_events!$D$2:$D$13,"rating_upgrade")&gt;0,1,0)</f>
        <v>0</v>
      </c>
      <c r="Q128" s="3">
        <f>IF(COUNTIFS(rating_events!$B$2:$B$13,C128,rating_events!$D$2:$D$13,"rating_downgrade")&gt;0,1,0)</f>
        <v>0</v>
      </c>
      <c r="R128" s="3">
        <f>IF(COUNTIFS(rating_events!$B$2:$B$13,C128,rating_events!$D$2:$D$13,"outlook_improvement")&gt;0,1,0)</f>
        <v>0</v>
      </c>
      <c r="S128" s="3">
        <f>IF(COUNTIFS(rating_events!$B$2:$B$13,C128,rating_events!$D$2:$D$13,"outlook_deterioration")&gt;0,1,0)</f>
        <v>0</v>
      </c>
      <c r="T128" s="5">
        <v>20.933499999999999</v>
      </c>
      <c r="U128" s="5">
        <v>19.647200000000002</v>
      </c>
      <c r="V128" s="3">
        <v>1</v>
      </c>
      <c r="W128" s="3">
        <v>0</v>
      </c>
      <c r="X128" s="3">
        <f t="shared" si="22"/>
        <v>1</v>
      </c>
      <c r="Y128" s="3">
        <f t="shared" si="23"/>
        <v>1</v>
      </c>
    </row>
    <row r="129" spans="1:25" ht="18" customHeight="1">
      <c r="A129" s="3">
        <v>2023</v>
      </c>
      <c r="B129" s="3">
        <v>8</v>
      </c>
      <c r="C129" s="3">
        <f t="shared" si="18"/>
        <v>763</v>
      </c>
      <c r="D129" s="4">
        <v>15230</v>
      </c>
      <c r="E129" s="5">
        <f t="shared" si="19"/>
        <v>3.079699999999999</v>
      </c>
      <c r="F129" s="5">
        <f>IF(COUNT(flow_components!C129:E129)=3,SUM(flow_components!C129:E129),"")</f>
        <v>-28.273276436999996</v>
      </c>
      <c r="G129" s="5">
        <v>123.08043000000001</v>
      </c>
      <c r="H129" s="5">
        <v>103.619</v>
      </c>
      <c r="I129" s="5">
        <v>4.1081000000000003</v>
      </c>
      <c r="J129" s="5">
        <v>13.57</v>
      </c>
      <c r="K129" s="5">
        <v>5.75</v>
      </c>
      <c r="L129" s="5">
        <v>5.25</v>
      </c>
      <c r="M129" s="5">
        <v>5.5</v>
      </c>
      <c r="N129" s="5">
        <f t="shared" si="20"/>
        <v>5.375</v>
      </c>
      <c r="O129" s="5">
        <f t="shared" si="21"/>
        <v>0.375</v>
      </c>
      <c r="P129" s="3">
        <f>IF(COUNTIFS(rating_events!$B$2:$B$13,C129,rating_events!$D$2:$D$13,"rating_upgrade")&gt;0,1,0)</f>
        <v>0</v>
      </c>
      <c r="Q129" s="3">
        <f>IF(COUNTIFS(rating_events!$B$2:$B$13,C129,rating_events!$D$2:$D$13,"rating_downgrade")&gt;0,1,0)</f>
        <v>0</v>
      </c>
      <c r="R129" s="3">
        <f>IF(COUNTIFS(rating_events!$B$2:$B$13,C129,rating_events!$D$2:$D$13,"outlook_improvement")&gt;0,1,0)</f>
        <v>0</v>
      </c>
      <c r="S129" s="3">
        <f>IF(COUNTIFS(rating_events!$B$2:$B$13,C129,rating_events!$D$2:$D$13,"outlook_deterioration")&gt;0,1,0)</f>
        <v>0</v>
      </c>
      <c r="T129" s="5">
        <v>22.055499999999999</v>
      </c>
      <c r="U129" s="5">
        <v>18.9758</v>
      </c>
      <c r="V129" s="3">
        <v>1</v>
      </c>
      <c r="W129" s="3">
        <v>0</v>
      </c>
      <c r="X129" s="3">
        <f t="shared" si="22"/>
        <v>1</v>
      </c>
      <c r="Y129" s="3">
        <f t="shared" si="23"/>
        <v>1</v>
      </c>
    </row>
    <row r="130" spans="1:25" ht="18" customHeight="1">
      <c r="A130" s="3">
        <v>2023</v>
      </c>
      <c r="B130" s="3">
        <v>9</v>
      </c>
      <c r="C130" s="3">
        <f t="shared" ref="C130:C161" si="24">12*(A130-1960)+B130-1</f>
        <v>764</v>
      </c>
      <c r="D130" s="4">
        <v>15455</v>
      </c>
      <c r="E130" s="5">
        <f t="shared" ref="E130:E166" si="25">IF(COUNT(T130:U130)=2,T130-U130,"")</f>
        <v>3.3545000000000016</v>
      </c>
      <c r="F130" s="5">
        <f>IF(COUNT(flow_components!C130:E130)=3,SUM(flow_components!C130:E130),"")</f>
        <v>-16.011606491999999</v>
      </c>
      <c r="G130" s="5">
        <v>121.16033</v>
      </c>
      <c r="H130" s="5">
        <v>106.17400000000001</v>
      </c>
      <c r="I130" s="5">
        <v>4.5711000000000004</v>
      </c>
      <c r="J130" s="5">
        <v>17.52</v>
      </c>
      <c r="K130" s="5">
        <v>5.75</v>
      </c>
      <c r="L130" s="5">
        <v>5.25</v>
      </c>
      <c r="M130" s="5">
        <v>5.5</v>
      </c>
      <c r="N130" s="5">
        <f t="shared" ref="N130:N161" si="26">(L130+M130)/2</f>
        <v>5.375</v>
      </c>
      <c r="O130" s="5">
        <f t="shared" ref="O130:O161" si="27">K130-N130</f>
        <v>0.375</v>
      </c>
      <c r="P130" s="3">
        <f>IF(COUNTIFS(rating_events!$B$2:$B$13,C130,rating_events!$D$2:$D$13,"rating_upgrade")&gt;0,1,0)</f>
        <v>0</v>
      </c>
      <c r="Q130" s="3">
        <f>IF(COUNTIFS(rating_events!$B$2:$B$13,C130,rating_events!$D$2:$D$13,"rating_downgrade")&gt;0,1,0)</f>
        <v>0</v>
      </c>
      <c r="R130" s="3">
        <f>IF(COUNTIFS(rating_events!$B$2:$B$13,C130,rating_events!$D$2:$D$13,"outlook_improvement")&gt;0,1,0)</f>
        <v>0</v>
      </c>
      <c r="S130" s="3">
        <f>IF(COUNTIFS(rating_events!$B$2:$B$13,C130,rating_events!$D$2:$D$13,"outlook_deterioration")&gt;0,1,0)</f>
        <v>0</v>
      </c>
      <c r="T130" s="5">
        <v>20.8156</v>
      </c>
      <c r="U130" s="5">
        <v>17.461099999999998</v>
      </c>
      <c r="V130" s="3">
        <v>1</v>
      </c>
      <c r="W130" s="3">
        <v>1</v>
      </c>
      <c r="X130" s="3">
        <f t="shared" ref="X130:X161" si="28">IF(AND(A130&gt;=2014,Y130=1),1,0)</f>
        <v>1</v>
      </c>
      <c r="Y130" s="3">
        <f t="shared" ref="Y130:Y166" si="29">IF(COUNT(D130:H130)=5,1,0)</f>
        <v>1</v>
      </c>
    </row>
    <row r="131" spans="1:25" ht="18" customHeight="1">
      <c r="A131" s="3">
        <v>2023</v>
      </c>
      <c r="B131" s="3">
        <v>10</v>
      </c>
      <c r="C131" s="3">
        <f t="shared" si="24"/>
        <v>765</v>
      </c>
      <c r="D131" s="4">
        <v>15885</v>
      </c>
      <c r="E131" s="5">
        <f t="shared" si="25"/>
        <v>3.4430000000000014</v>
      </c>
      <c r="F131" s="5">
        <f>IF(COUNT(flow_components!C131:E131)=3,SUM(flow_components!C131:E131),"")</f>
        <v>-11.726233792000002</v>
      </c>
      <c r="G131" s="5">
        <v>119.14453</v>
      </c>
      <c r="H131" s="5">
        <v>106.663</v>
      </c>
      <c r="I131" s="5">
        <v>4.9306999999999999</v>
      </c>
      <c r="J131" s="5">
        <v>18.14</v>
      </c>
      <c r="K131" s="5">
        <v>6</v>
      </c>
      <c r="L131" s="5">
        <v>5.25</v>
      </c>
      <c r="M131" s="5">
        <v>5.5</v>
      </c>
      <c r="N131" s="5">
        <f t="shared" si="26"/>
        <v>5.375</v>
      </c>
      <c r="O131" s="5">
        <f t="shared" si="27"/>
        <v>0.625</v>
      </c>
      <c r="P131" s="3">
        <f>IF(COUNTIFS(rating_events!$B$2:$B$13,C131,rating_events!$D$2:$D$13,"rating_upgrade")&gt;0,1,0)</f>
        <v>0</v>
      </c>
      <c r="Q131" s="3">
        <f>IF(COUNTIFS(rating_events!$B$2:$B$13,C131,rating_events!$D$2:$D$13,"rating_downgrade")&gt;0,1,0)</f>
        <v>0</v>
      </c>
      <c r="R131" s="3">
        <f>IF(COUNTIFS(rating_events!$B$2:$B$13,C131,rating_events!$D$2:$D$13,"outlook_improvement")&gt;0,1,0)</f>
        <v>0</v>
      </c>
      <c r="S131" s="3">
        <f>IF(COUNTIFS(rating_events!$B$2:$B$13,C131,rating_events!$D$2:$D$13,"outlook_deterioration")&gt;0,1,0)</f>
        <v>0</v>
      </c>
      <c r="T131" s="5">
        <v>22.220099999999999</v>
      </c>
      <c r="U131" s="5">
        <v>18.777099999999997</v>
      </c>
      <c r="V131" s="3">
        <v>1</v>
      </c>
      <c r="W131" s="3">
        <v>1</v>
      </c>
      <c r="X131" s="3">
        <f t="shared" si="28"/>
        <v>1</v>
      </c>
      <c r="Y131" s="3">
        <f t="shared" si="29"/>
        <v>1</v>
      </c>
    </row>
    <row r="132" spans="1:25" ht="18" customHeight="1">
      <c r="A132" s="3">
        <v>2023</v>
      </c>
      <c r="B132" s="3">
        <v>11</v>
      </c>
      <c r="C132" s="3">
        <f t="shared" si="24"/>
        <v>766</v>
      </c>
      <c r="D132" s="4">
        <v>15510</v>
      </c>
      <c r="E132" s="5">
        <f t="shared" si="25"/>
        <v>2.396099999999997</v>
      </c>
      <c r="F132" s="5">
        <f>IF(COUNT(flow_components!C132:E132)=3,SUM(flow_components!C132:E132),"")</f>
        <v>46.375514417999995</v>
      </c>
      <c r="G132" s="5">
        <v>123.83033</v>
      </c>
      <c r="H132" s="5">
        <v>103.497</v>
      </c>
      <c r="I132" s="5">
        <v>4.3263999999999996</v>
      </c>
      <c r="J132" s="5">
        <v>12.92</v>
      </c>
      <c r="K132" s="5">
        <v>6</v>
      </c>
      <c r="L132" s="5">
        <v>5.25</v>
      </c>
      <c r="M132" s="5">
        <v>5.5</v>
      </c>
      <c r="N132" s="5">
        <f t="shared" si="26"/>
        <v>5.375</v>
      </c>
      <c r="O132" s="5">
        <f t="shared" si="27"/>
        <v>0.625</v>
      </c>
      <c r="P132" s="3">
        <f>IF(COUNTIFS(rating_events!$B$2:$B$13,C132,rating_events!$D$2:$D$13,"rating_upgrade")&gt;0,1,0)</f>
        <v>0</v>
      </c>
      <c r="Q132" s="3">
        <f>IF(COUNTIFS(rating_events!$B$2:$B$13,C132,rating_events!$D$2:$D$13,"rating_downgrade")&gt;0,1,0)</f>
        <v>0</v>
      </c>
      <c r="R132" s="3">
        <f>IF(COUNTIFS(rating_events!$B$2:$B$13,C132,rating_events!$D$2:$D$13,"outlook_improvement")&gt;0,1,0)</f>
        <v>0</v>
      </c>
      <c r="S132" s="3">
        <f>IF(COUNTIFS(rating_events!$B$2:$B$13,C132,rating_events!$D$2:$D$13,"outlook_deterioration")&gt;0,1,0)</f>
        <v>0</v>
      </c>
      <c r="T132" s="5">
        <v>22.075599999999998</v>
      </c>
      <c r="U132" s="5">
        <v>19.679500000000001</v>
      </c>
      <c r="V132" s="3">
        <v>1</v>
      </c>
      <c r="W132" s="3">
        <v>1</v>
      </c>
      <c r="X132" s="3">
        <f t="shared" si="28"/>
        <v>1</v>
      </c>
      <c r="Y132" s="3">
        <f t="shared" si="29"/>
        <v>1</v>
      </c>
    </row>
    <row r="133" spans="1:25" ht="18" customHeight="1">
      <c r="A133" s="3">
        <v>2023</v>
      </c>
      <c r="B133" s="3">
        <v>12</v>
      </c>
      <c r="C133" s="3">
        <f t="shared" si="24"/>
        <v>767</v>
      </c>
      <c r="D133" s="4">
        <v>15397</v>
      </c>
      <c r="E133" s="5">
        <f t="shared" si="25"/>
        <v>3.2531999999999996</v>
      </c>
      <c r="F133" s="5">
        <f>IF(COUNT(flow_components!C133:E133)=3,SUM(flow_components!C133:E133),"")</f>
        <v>40.268153949000002</v>
      </c>
      <c r="G133" s="5">
        <v>131.98257000000001</v>
      </c>
      <c r="H133" s="5">
        <v>101.333</v>
      </c>
      <c r="I133" s="5">
        <v>3.8791000000000002</v>
      </c>
      <c r="J133" s="5">
        <v>12.45</v>
      </c>
      <c r="K133" s="5">
        <v>6</v>
      </c>
      <c r="L133" s="5">
        <v>5.25</v>
      </c>
      <c r="M133" s="5">
        <v>5.5</v>
      </c>
      <c r="N133" s="5">
        <f t="shared" si="26"/>
        <v>5.375</v>
      </c>
      <c r="O133" s="5">
        <f t="shared" si="27"/>
        <v>0.625</v>
      </c>
      <c r="P133" s="3">
        <f>IF(COUNTIFS(rating_events!$B$2:$B$13,C133,rating_events!$D$2:$D$13,"rating_upgrade")&gt;0,1,0)</f>
        <v>0</v>
      </c>
      <c r="Q133" s="3">
        <f>IF(COUNTIFS(rating_events!$B$2:$B$13,C133,rating_events!$D$2:$D$13,"rating_downgrade")&gt;0,1,0)</f>
        <v>0</v>
      </c>
      <c r="R133" s="3">
        <f>IF(COUNTIFS(rating_events!$B$2:$B$13,C133,rating_events!$D$2:$D$13,"outlook_improvement")&gt;0,1,0)</f>
        <v>0</v>
      </c>
      <c r="S133" s="3">
        <f>IF(COUNTIFS(rating_events!$B$2:$B$13,C133,rating_events!$D$2:$D$13,"outlook_deterioration")&gt;0,1,0)</f>
        <v>0</v>
      </c>
      <c r="T133" s="5">
        <v>22.4649</v>
      </c>
      <c r="U133" s="5">
        <v>19.2117</v>
      </c>
      <c r="V133" s="3">
        <v>1</v>
      </c>
      <c r="W133" s="3">
        <v>1</v>
      </c>
      <c r="X133" s="3">
        <f t="shared" si="28"/>
        <v>1</v>
      </c>
      <c r="Y133" s="3">
        <f t="shared" si="29"/>
        <v>1</v>
      </c>
    </row>
    <row r="134" spans="1:25" ht="18" customHeight="1">
      <c r="A134" s="3">
        <v>2024</v>
      </c>
      <c r="B134" s="3">
        <v>1</v>
      </c>
      <c r="C134" s="3">
        <f t="shared" si="24"/>
        <v>768</v>
      </c>
      <c r="D134" s="4">
        <v>15780</v>
      </c>
      <c r="E134" s="5">
        <f t="shared" si="25"/>
        <v>1.9825000000000017</v>
      </c>
      <c r="F134" s="5">
        <f>IF(COUNT(flow_components!C134:E134)=3,SUM(flow_components!C134:E134),"")</f>
        <v>28.968805778999993</v>
      </c>
      <c r="G134" s="5">
        <v>130.79650000000001</v>
      </c>
      <c r="H134" s="5">
        <v>103.274</v>
      </c>
      <c r="I134" s="5">
        <v>3.9123999999999999</v>
      </c>
      <c r="J134" s="5">
        <v>14.35</v>
      </c>
      <c r="K134" s="5">
        <v>6</v>
      </c>
      <c r="L134" s="5">
        <v>5.25</v>
      </c>
      <c r="M134" s="5">
        <v>5.5</v>
      </c>
      <c r="N134" s="5">
        <f t="shared" si="26"/>
        <v>5.375</v>
      </c>
      <c r="O134" s="5">
        <f t="shared" si="27"/>
        <v>0.625</v>
      </c>
      <c r="P134" s="3">
        <f>IF(COUNTIFS(rating_events!$B$2:$B$13,C134,rating_events!$D$2:$D$13,"rating_upgrade")&gt;0,1,0)</f>
        <v>0</v>
      </c>
      <c r="Q134" s="3">
        <f>IF(COUNTIFS(rating_events!$B$2:$B$13,C134,rating_events!$D$2:$D$13,"rating_downgrade")&gt;0,1,0)</f>
        <v>0</v>
      </c>
      <c r="R134" s="3">
        <f>IF(COUNTIFS(rating_events!$B$2:$B$13,C134,rating_events!$D$2:$D$13,"outlook_improvement")&gt;0,1,0)</f>
        <v>0</v>
      </c>
      <c r="S134" s="3">
        <f>IF(COUNTIFS(rating_events!$B$2:$B$13,C134,rating_events!$D$2:$D$13,"outlook_deterioration")&gt;0,1,0)</f>
        <v>0</v>
      </c>
      <c r="T134" s="5">
        <v>20.569800000000001</v>
      </c>
      <c r="U134" s="5">
        <v>18.587299999999999</v>
      </c>
      <c r="V134" s="3">
        <v>1</v>
      </c>
      <c r="W134" s="3">
        <v>1</v>
      </c>
      <c r="X134" s="3">
        <f t="shared" si="28"/>
        <v>1</v>
      </c>
      <c r="Y134" s="3">
        <f t="shared" si="29"/>
        <v>1</v>
      </c>
    </row>
    <row r="135" spans="1:25" ht="18" customHeight="1">
      <c r="A135" s="3">
        <v>2024</v>
      </c>
      <c r="B135" s="3">
        <v>2</v>
      </c>
      <c r="C135" s="3">
        <f t="shared" si="24"/>
        <v>769</v>
      </c>
      <c r="D135" s="4">
        <v>15715</v>
      </c>
      <c r="E135" s="5">
        <f t="shared" si="25"/>
        <v>0.84100000000000108</v>
      </c>
      <c r="F135" s="5">
        <f>IF(COUNT(flow_components!C135:E135)=3,SUM(flow_components!C135:E135),"")</f>
        <v>9.345880911999993</v>
      </c>
      <c r="G135" s="5">
        <v>129.82015999999999</v>
      </c>
      <c r="H135" s="5">
        <v>104.15600000000001</v>
      </c>
      <c r="I135" s="5">
        <v>4.2502000000000004</v>
      </c>
      <c r="J135" s="5">
        <v>13.4</v>
      </c>
      <c r="K135" s="5">
        <v>6</v>
      </c>
      <c r="L135" s="5">
        <v>5.25</v>
      </c>
      <c r="M135" s="5">
        <v>5.5</v>
      </c>
      <c r="N135" s="5">
        <f t="shared" si="26"/>
        <v>5.375</v>
      </c>
      <c r="O135" s="5">
        <f t="shared" si="27"/>
        <v>0.625</v>
      </c>
      <c r="P135" s="3">
        <f>IF(COUNTIFS(rating_events!$B$2:$B$13,C135,rating_events!$D$2:$D$13,"rating_upgrade")&gt;0,1,0)</f>
        <v>0</v>
      </c>
      <c r="Q135" s="3">
        <f>IF(COUNTIFS(rating_events!$B$2:$B$13,C135,rating_events!$D$2:$D$13,"rating_downgrade")&gt;0,1,0)</f>
        <v>0</v>
      </c>
      <c r="R135" s="3">
        <f>IF(COUNTIFS(rating_events!$B$2:$B$13,C135,rating_events!$D$2:$D$13,"outlook_improvement")&gt;0,1,0)</f>
        <v>0</v>
      </c>
      <c r="S135" s="3">
        <f>IF(COUNTIFS(rating_events!$B$2:$B$13,C135,rating_events!$D$2:$D$13,"outlook_deterioration")&gt;0,1,0)</f>
        <v>0</v>
      </c>
      <c r="T135" s="5">
        <v>19.348700000000001</v>
      </c>
      <c r="U135" s="5">
        <v>18.5077</v>
      </c>
      <c r="V135" s="3">
        <v>1</v>
      </c>
      <c r="W135" s="3">
        <v>1</v>
      </c>
      <c r="X135" s="3">
        <f t="shared" si="28"/>
        <v>1</v>
      </c>
      <c r="Y135" s="3">
        <f t="shared" si="29"/>
        <v>1</v>
      </c>
    </row>
    <row r="136" spans="1:25" ht="18" customHeight="1">
      <c r="A136" s="3">
        <v>2024</v>
      </c>
      <c r="B136" s="3">
        <v>3</v>
      </c>
      <c r="C136" s="3">
        <f t="shared" si="24"/>
        <v>770</v>
      </c>
      <c r="D136" s="4">
        <v>15855</v>
      </c>
      <c r="E136" s="5">
        <f t="shared" si="25"/>
        <v>4.6022000000000034</v>
      </c>
      <c r="F136" s="5">
        <f>IF(COUNT(flow_components!C136:E136)=3,SUM(flow_components!C136:E136),"")</f>
        <v>-18.099835916999996</v>
      </c>
      <c r="G136" s="5">
        <v>125.78606000000001</v>
      </c>
      <c r="H136" s="5">
        <v>104.48699999999999</v>
      </c>
      <c r="I136" s="5">
        <v>4.2003000000000004</v>
      </c>
      <c r="J136" s="5">
        <v>13.01</v>
      </c>
      <c r="K136" s="5">
        <v>6</v>
      </c>
      <c r="L136" s="5">
        <v>5.25</v>
      </c>
      <c r="M136" s="5">
        <v>5.5</v>
      </c>
      <c r="N136" s="5">
        <f t="shared" si="26"/>
        <v>5.375</v>
      </c>
      <c r="O136" s="5">
        <f t="shared" si="27"/>
        <v>0.625</v>
      </c>
      <c r="P136" s="3">
        <f>IF(COUNTIFS(rating_events!$B$2:$B$13,C136,rating_events!$D$2:$D$13,"rating_upgrade")&gt;0,1,0)</f>
        <v>0</v>
      </c>
      <c r="Q136" s="3">
        <f>IF(COUNTIFS(rating_events!$B$2:$B$13,C136,rating_events!$D$2:$D$13,"rating_downgrade")&gt;0,1,0)</f>
        <v>0</v>
      </c>
      <c r="R136" s="3">
        <f>IF(COUNTIFS(rating_events!$B$2:$B$13,C136,rating_events!$D$2:$D$13,"outlook_improvement")&gt;0,1,0)</f>
        <v>0</v>
      </c>
      <c r="S136" s="3">
        <f>IF(COUNTIFS(rating_events!$B$2:$B$13,C136,rating_events!$D$2:$D$13,"outlook_deterioration")&gt;0,1,0)</f>
        <v>0</v>
      </c>
      <c r="T136" s="5">
        <v>22.62</v>
      </c>
      <c r="U136" s="5">
        <v>18.017799999999998</v>
      </c>
      <c r="V136" s="3">
        <v>1</v>
      </c>
      <c r="W136" s="3">
        <v>1</v>
      </c>
      <c r="X136" s="3">
        <f t="shared" si="28"/>
        <v>1</v>
      </c>
      <c r="Y136" s="3">
        <f t="shared" si="29"/>
        <v>1</v>
      </c>
    </row>
    <row r="137" spans="1:25" ht="18" customHeight="1">
      <c r="A137" s="3">
        <v>2024</v>
      </c>
      <c r="B137" s="3">
        <v>4</v>
      </c>
      <c r="C137" s="3">
        <f t="shared" si="24"/>
        <v>771</v>
      </c>
      <c r="D137" s="4">
        <v>16260</v>
      </c>
      <c r="E137" s="5">
        <f t="shared" si="25"/>
        <v>2.6997000000000035</v>
      </c>
      <c r="F137" s="5">
        <f>IF(COUNT(flow_components!C137:E137)=3,SUM(flow_components!C137:E137),"")</f>
        <v>-42.743337642999997</v>
      </c>
      <c r="G137" s="5">
        <v>121.34650999999999</v>
      </c>
      <c r="H137" s="5">
        <v>106.221</v>
      </c>
      <c r="I137" s="5">
        <v>4.6798000000000002</v>
      </c>
      <c r="J137" s="5">
        <v>15.65</v>
      </c>
      <c r="K137" s="5">
        <v>6.25</v>
      </c>
      <c r="L137" s="5">
        <v>5.25</v>
      </c>
      <c r="M137" s="5">
        <v>5.5</v>
      </c>
      <c r="N137" s="5">
        <f t="shared" si="26"/>
        <v>5.375</v>
      </c>
      <c r="O137" s="5">
        <f t="shared" si="27"/>
        <v>0.875</v>
      </c>
      <c r="P137" s="3">
        <f>IF(COUNTIFS(rating_events!$B$2:$B$13,C137,rating_events!$D$2:$D$13,"rating_upgrade")&gt;0,1,0)</f>
        <v>0</v>
      </c>
      <c r="Q137" s="3">
        <f>IF(COUNTIFS(rating_events!$B$2:$B$13,C137,rating_events!$D$2:$D$13,"rating_downgrade")&gt;0,1,0)</f>
        <v>0</v>
      </c>
      <c r="R137" s="3">
        <f>IF(COUNTIFS(rating_events!$B$2:$B$13,C137,rating_events!$D$2:$D$13,"outlook_improvement")&gt;0,1,0)</f>
        <v>0</v>
      </c>
      <c r="S137" s="3">
        <f>IF(COUNTIFS(rating_events!$B$2:$B$13,C137,rating_events!$D$2:$D$13,"outlook_deterioration")&gt;0,1,0)</f>
        <v>0</v>
      </c>
      <c r="T137" s="5">
        <v>19.693300000000001</v>
      </c>
      <c r="U137" s="5">
        <v>16.993599999999997</v>
      </c>
      <c r="V137" s="3">
        <v>1</v>
      </c>
      <c r="W137" s="3">
        <v>1</v>
      </c>
      <c r="X137" s="3">
        <f t="shared" si="28"/>
        <v>1</v>
      </c>
      <c r="Y137" s="3">
        <f t="shared" si="29"/>
        <v>1</v>
      </c>
    </row>
    <row r="138" spans="1:25" ht="18" customHeight="1">
      <c r="A138" s="3">
        <v>2024</v>
      </c>
      <c r="B138" s="3">
        <v>5</v>
      </c>
      <c r="C138" s="3">
        <f t="shared" si="24"/>
        <v>772</v>
      </c>
      <c r="D138" s="4">
        <v>16250</v>
      </c>
      <c r="E138" s="5">
        <f t="shared" si="25"/>
        <v>2.9367999999999981</v>
      </c>
      <c r="F138" s="5">
        <f>IF(COUNT(flow_components!C138:E138)=3,SUM(flow_components!C138:E138),"")</f>
        <v>82.064803135999981</v>
      </c>
      <c r="G138" s="5">
        <v>124.03348</v>
      </c>
      <c r="H138" s="5">
        <v>104.67100000000001</v>
      </c>
      <c r="I138" s="5">
        <v>4.4984999999999999</v>
      </c>
      <c r="J138" s="5">
        <v>12.92</v>
      </c>
      <c r="K138" s="5">
        <v>6.25</v>
      </c>
      <c r="L138" s="5">
        <v>5.25</v>
      </c>
      <c r="M138" s="5">
        <v>5.5</v>
      </c>
      <c r="N138" s="5">
        <f t="shared" si="26"/>
        <v>5.375</v>
      </c>
      <c r="O138" s="5">
        <f t="shared" si="27"/>
        <v>0.875</v>
      </c>
      <c r="P138" s="3">
        <f>IF(COUNTIFS(rating_events!$B$2:$B$13,C138,rating_events!$D$2:$D$13,"rating_upgrade")&gt;0,1,0)</f>
        <v>0</v>
      </c>
      <c r="Q138" s="3">
        <f>IF(COUNTIFS(rating_events!$B$2:$B$13,C138,rating_events!$D$2:$D$13,"rating_downgrade")&gt;0,1,0)</f>
        <v>0</v>
      </c>
      <c r="R138" s="3">
        <f>IF(COUNTIFS(rating_events!$B$2:$B$13,C138,rating_events!$D$2:$D$13,"outlook_improvement")&gt;0,1,0)</f>
        <v>0</v>
      </c>
      <c r="S138" s="3">
        <f>IF(COUNTIFS(rating_events!$B$2:$B$13,C138,rating_events!$D$2:$D$13,"outlook_deterioration")&gt;0,1,0)</f>
        <v>0</v>
      </c>
      <c r="T138" s="5">
        <v>22.442</v>
      </c>
      <c r="U138" s="5">
        <v>19.505200000000002</v>
      </c>
      <c r="V138" s="3">
        <v>1</v>
      </c>
      <c r="W138" s="3">
        <v>1</v>
      </c>
      <c r="X138" s="3">
        <f t="shared" si="28"/>
        <v>1</v>
      </c>
      <c r="Y138" s="3">
        <f t="shared" si="29"/>
        <v>1</v>
      </c>
    </row>
    <row r="139" spans="1:25" ht="18" customHeight="1">
      <c r="A139" s="3">
        <v>2024</v>
      </c>
      <c r="B139" s="3">
        <v>6</v>
      </c>
      <c r="C139" s="3">
        <f t="shared" si="24"/>
        <v>773</v>
      </c>
      <c r="D139" s="4">
        <v>16375</v>
      </c>
      <c r="E139" s="5">
        <f t="shared" si="25"/>
        <v>2.5189999999999984</v>
      </c>
      <c r="F139" s="5">
        <f>IF(COUNT(flow_components!C139:E139)=3,SUM(flow_components!C139:E139),"")</f>
        <v>40.747083967000023</v>
      </c>
      <c r="G139" s="5">
        <v>125.32597</v>
      </c>
      <c r="H139" s="5">
        <v>105.866</v>
      </c>
      <c r="I139" s="5">
        <v>4.3960999999999997</v>
      </c>
      <c r="J139" s="5">
        <v>12.44</v>
      </c>
      <c r="K139" s="5">
        <v>6.25</v>
      </c>
      <c r="L139" s="5">
        <v>5.25</v>
      </c>
      <c r="M139" s="5">
        <v>5.5</v>
      </c>
      <c r="N139" s="5">
        <f t="shared" si="26"/>
        <v>5.375</v>
      </c>
      <c r="O139" s="5">
        <f t="shared" si="27"/>
        <v>0.875</v>
      </c>
      <c r="P139" s="3">
        <f>IF(COUNTIFS(rating_events!$B$2:$B$13,C139,rating_events!$D$2:$D$13,"rating_upgrade")&gt;0,1,0)</f>
        <v>0</v>
      </c>
      <c r="Q139" s="3">
        <f>IF(COUNTIFS(rating_events!$B$2:$B$13,C139,rating_events!$D$2:$D$13,"rating_downgrade")&gt;0,1,0)</f>
        <v>0</v>
      </c>
      <c r="R139" s="3">
        <f>IF(COUNTIFS(rating_events!$B$2:$B$13,C139,rating_events!$D$2:$D$13,"outlook_improvement")&gt;0,1,0)</f>
        <v>0</v>
      </c>
      <c r="S139" s="3">
        <f>IF(COUNTIFS(rating_events!$B$2:$B$13,C139,rating_events!$D$2:$D$13,"outlook_deterioration")&gt;0,1,0)</f>
        <v>0</v>
      </c>
      <c r="T139" s="5">
        <v>21.058299999999999</v>
      </c>
      <c r="U139" s="5">
        <v>18.539300000000001</v>
      </c>
      <c r="V139" s="3">
        <v>1</v>
      </c>
      <c r="W139" s="3">
        <v>1</v>
      </c>
      <c r="X139" s="3">
        <f t="shared" si="28"/>
        <v>1</v>
      </c>
      <c r="Y139" s="3">
        <f t="shared" si="29"/>
        <v>1</v>
      </c>
    </row>
    <row r="140" spans="1:25" ht="18" customHeight="1">
      <c r="A140" s="3">
        <v>2024</v>
      </c>
      <c r="B140" s="3">
        <v>7</v>
      </c>
      <c r="C140" s="3">
        <f t="shared" si="24"/>
        <v>774</v>
      </c>
      <c r="D140" s="4">
        <v>16260</v>
      </c>
      <c r="E140" s="5">
        <f t="shared" si="25"/>
        <v>0.67119999999999891</v>
      </c>
      <c r="F140" s="5">
        <f>IF(COUNT(flow_components!C140:E140)=3,SUM(flow_components!C140:E140),"")</f>
        <v>55.114342851999993</v>
      </c>
      <c r="G140" s="5">
        <v>130.26077000000001</v>
      </c>
      <c r="H140" s="5">
        <v>104.096</v>
      </c>
      <c r="I140" s="5">
        <v>4.0296000000000003</v>
      </c>
      <c r="J140" s="5">
        <v>16.36</v>
      </c>
      <c r="K140" s="5">
        <v>6.25</v>
      </c>
      <c r="L140" s="5">
        <v>5.25</v>
      </c>
      <c r="M140" s="5">
        <v>5.5</v>
      </c>
      <c r="N140" s="5">
        <f t="shared" si="26"/>
        <v>5.375</v>
      </c>
      <c r="O140" s="5">
        <f t="shared" si="27"/>
        <v>0.875</v>
      </c>
      <c r="P140" s="3">
        <f>IF(COUNTIFS(rating_events!$B$2:$B$13,C140,rating_events!$D$2:$D$13,"rating_upgrade")&gt;0,1,0)</f>
        <v>0</v>
      </c>
      <c r="Q140" s="3">
        <f>IF(COUNTIFS(rating_events!$B$2:$B$13,C140,rating_events!$D$2:$D$13,"rating_downgrade")&gt;0,1,0)</f>
        <v>0</v>
      </c>
      <c r="R140" s="3">
        <f>IF(COUNTIFS(rating_events!$B$2:$B$13,C140,rating_events!$D$2:$D$13,"outlook_improvement")&gt;0,1,0)</f>
        <v>0</v>
      </c>
      <c r="S140" s="3">
        <f>IF(COUNTIFS(rating_events!$B$2:$B$13,C140,rating_events!$D$2:$D$13,"outlook_deterioration")&gt;0,1,0)</f>
        <v>0</v>
      </c>
      <c r="T140" s="5">
        <v>22.526799999999998</v>
      </c>
      <c r="U140" s="5">
        <v>21.855599999999999</v>
      </c>
      <c r="V140" s="3">
        <v>1</v>
      </c>
      <c r="W140" s="3">
        <v>1</v>
      </c>
      <c r="X140" s="3">
        <f t="shared" si="28"/>
        <v>1</v>
      </c>
      <c r="Y140" s="3">
        <f t="shared" si="29"/>
        <v>1</v>
      </c>
    </row>
    <row r="141" spans="1:25" ht="18" customHeight="1">
      <c r="A141" s="3">
        <v>2024</v>
      </c>
      <c r="B141" s="3">
        <v>8</v>
      </c>
      <c r="C141" s="3">
        <f t="shared" si="24"/>
        <v>775</v>
      </c>
      <c r="D141" s="4">
        <v>15455</v>
      </c>
      <c r="E141" s="5">
        <f t="shared" si="25"/>
        <v>2.7550999999999988</v>
      </c>
      <c r="F141" s="5">
        <f>IF(COUNT(flow_components!C141:E141)=3,SUM(flow_components!C141:E141),"")</f>
        <v>82.600492697000021</v>
      </c>
      <c r="G141" s="5">
        <v>134.67388</v>
      </c>
      <c r="H141" s="5">
        <v>101.69799999999999</v>
      </c>
      <c r="I141" s="5">
        <v>3.9034</v>
      </c>
      <c r="J141" s="5">
        <v>15</v>
      </c>
      <c r="K141" s="5">
        <v>6.25</v>
      </c>
      <c r="L141" s="5">
        <v>5.25</v>
      </c>
      <c r="M141" s="5">
        <v>5.5</v>
      </c>
      <c r="N141" s="5">
        <f t="shared" si="26"/>
        <v>5.375</v>
      </c>
      <c r="O141" s="5">
        <f t="shared" si="27"/>
        <v>0.875</v>
      </c>
      <c r="P141" s="3">
        <f>IF(COUNTIFS(rating_events!$B$2:$B$13,C141,rating_events!$D$2:$D$13,"rating_upgrade")&gt;0,1,0)</f>
        <v>0</v>
      </c>
      <c r="Q141" s="3">
        <f>IF(COUNTIFS(rating_events!$B$2:$B$13,C141,rating_events!$D$2:$D$13,"rating_downgrade")&gt;0,1,0)</f>
        <v>0</v>
      </c>
      <c r="R141" s="3">
        <f>IF(COUNTIFS(rating_events!$B$2:$B$13,C141,rating_events!$D$2:$D$13,"outlook_improvement")&gt;0,1,0)</f>
        <v>0</v>
      </c>
      <c r="S141" s="3">
        <f>IF(COUNTIFS(rating_events!$B$2:$B$13,C141,rating_events!$D$2:$D$13,"outlook_deterioration")&gt;0,1,0)</f>
        <v>0</v>
      </c>
      <c r="T141" s="5">
        <v>23.598500000000001</v>
      </c>
      <c r="U141" s="5">
        <v>20.843400000000003</v>
      </c>
      <c r="V141" s="3">
        <v>1</v>
      </c>
      <c r="W141" s="3">
        <v>1</v>
      </c>
      <c r="X141" s="3">
        <f t="shared" si="28"/>
        <v>1</v>
      </c>
      <c r="Y141" s="3">
        <f t="shared" si="29"/>
        <v>1</v>
      </c>
    </row>
    <row r="142" spans="1:25" ht="18" customHeight="1">
      <c r="A142" s="3">
        <v>2024</v>
      </c>
      <c r="B142" s="3">
        <v>9</v>
      </c>
      <c r="C142" s="3">
        <f t="shared" si="24"/>
        <v>776</v>
      </c>
      <c r="D142" s="4">
        <v>15140</v>
      </c>
      <c r="E142" s="5">
        <f t="shared" si="25"/>
        <v>3.1767000000000003</v>
      </c>
      <c r="F142" s="5">
        <f>IF(COUNT(flow_components!C142:E142)=3,SUM(flow_components!C142:E142),"")</f>
        <v>45.984602928000015</v>
      </c>
      <c r="G142" s="5">
        <v>133.94795999999999</v>
      </c>
      <c r="H142" s="5">
        <v>100.779</v>
      </c>
      <c r="I142" s="5">
        <v>3.7808999999999999</v>
      </c>
      <c r="J142" s="5">
        <v>16.73</v>
      </c>
      <c r="K142" s="5">
        <v>6</v>
      </c>
      <c r="L142" s="5">
        <v>4.75</v>
      </c>
      <c r="M142" s="5">
        <v>5</v>
      </c>
      <c r="N142" s="5">
        <f t="shared" si="26"/>
        <v>4.875</v>
      </c>
      <c r="O142" s="5">
        <f t="shared" si="27"/>
        <v>1.125</v>
      </c>
      <c r="P142" s="3">
        <f>IF(COUNTIFS(rating_events!$B$2:$B$13,C142,rating_events!$D$2:$D$13,"rating_upgrade")&gt;0,1,0)</f>
        <v>0</v>
      </c>
      <c r="Q142" s="3">
        <f>IF(COUNTIFS(rating_events!$B$2:$B$13,C142,rating_events!$D$2:$D$13,"rating_downgrade")&gt;0,1,0)</f>
        <v>0</v>
      </c>
      <c r="R142" s="3">
        <f>IF(COUNTIFS(rating_events!$B$2:$B$13,C142,rating_events!$D$2:$D$13,"outlook_improvement")&gt;0,1,0)</f>
        <v>0</v>
      </c>
      <c r="S142" s="3">
        <f>IF(COUNTIFS(rating_events!$B$2:$B$13,C142,rating_events!$D$2:$D$13,"outlook_deterioration")&gt;0,1,0)</f>
        <v>0</v>
      </c>
      <c r="T142" s="5">
        <v>22.150700000000001</v>
      </c>
      <c r="U142" s="5">
        <v>18.974</v>
      </c>
      <c r="V142" s="3">
        <v>1</v>
      </c>
      <c r="W142" s="3">
        <v>1</v>
      </c>
      <c r="X142" s="3">
        <f t="shared" si="28"/>
        <v>1</v>
      </c>
      <c r="Y142" s="3">
        <f t="shared" si="29"/>
        <v>1</v>
      </c>
    </row>
    <row r="143" spans="1:25" ht="18" customHeight="1">
      <c r="A143" s="3">
        <v>2024</v>
      </c>
      <c r="B143" s="3">
        <v>10</v>
      </c>
      <c r="C143" s="3">
        <f t="shared" si="24"/>
        <v>777</v>
      </c>
      <c r="D143" s="4">
        <v>15697</v>
      </c>
      <c r="E143" s="5">
        <f t="shared" si="25"/>
        <v>2.7109999999999985</v>
      </c>
      <c r="F143" s="5">
        <f>IF(COUNT(flow_components!C143:E143)=3,SUM(flow_components!C143:E143),"")</f>
        <v>11.658219714999976</v>
      </c>
      <c r="G143" s="5">
        <v>135.0677</v>
      </c>
      <c r="H143" s="5">
        <v>103.976</v>
      </c>
      <c r="I143" s="5">
        <v>4.2843999999999998</v>
      </c>
      <c r="J143" s="5">
        <v>23.16</v>
      </c>
      <c r="K143" s="5">
        <v>6</v>
      </c>
      <c r="L143" s="5">
        <v>4.75</v>
      </c>
      <c r="M143" s="5">
        <v>5</v>
      </c>
      <c r="N143" s="5">
        <f t="shared" si="26"/>
        <v>4.875</v>
      </c>
      <c r="O143" s="5">
        <f t="shared" si="27"/>
        <v>1.125</v>
      </c>
      <c r="P143" s="3">
        <f>IF(COUNTIFS(rating_events!$B$2:$B$13,C143,rating_events!$D$2:$D$13,"rating_upgrade")&gt;0,1,0)</f>
        <v>0</v>
      </c>
      <c r="Q143" s="3">
        <f>IF(COUNTIFS(rating_events!$B$2:$B$13,C143,rating_events!$D$2:$D$13,"rating_downgrade")&gt;0,1,0)</f>
        <v>0</v>
      </c>
      <c r="R143" s="3">
        <f>IF(COUNTIFS(rating_events!$B$2:$B$13,C143,rating_events!$D$2:$D$13,"outlook_improvement")&gt;0,1,0)</f>
        <v>0</v>
      </c>
      <c r="S143" s="3">
        <f>IF(COUNTIFS(rating_events!$B$2:$B$13,C143,rating_events!$D$2:$D$13,"outlook_deterioration")&gt;0,1,0)</f>
        <v>0</v>
      </c>
      <c r="T143" s="5">
        <v>24.808799999999998</v>
      </c>
      <c r="U143" s="5">
        <v>22.097799999999999</v>
      </c>
      <c r="V143" s="3">
        <v>1</v>
      </c>
      <c r="W143" s="3">
        <v>1</v>
      </c>
      <c r="X143" s="3">
        <f t="shared" si="28"/>
        <v>1</v>
      </c>
      <c r="Y143" s="3">
        <f t="shared" si="29"/>
        <v>1</v>
      </c>
    </row>
    <row r="144" spans="1:25" ht="18" customHeight="1">
      <c r="A144" s="3">
        <v>2024</v>
      </c>
      <c r="B144" s="3">
        <v>11</v>
      </c>
      <c r="C144" s="3">
        <f t="shared" si="24"/>
        <v>778</v>
      </c>
      <c r="D144" s="4">
        <v>15845</v>
      </c>
      <c r="E144" s="5">
        <f t="shared" si="25"/>
        <v>4.3444000000000003</v>
      </c>
      <c r="F144" s="5">
        <f>IF(COUNT(flow_components!C144:E144)=3,SUM(flow_components!C144:E144),"")</f>
        <v>-48.000416394999981</v>
      </c>
      <c r="G144" s="5">
        <v>134.5103</v>
      </c>
      <c r="H144" s="5">
        <v>105.73699999999999</v>
      </c>
      <c r="I144" s="5">
        <v>4.1684999999999999</v>
      </c>
      <c r="J144" s="5">
        <v>13.51</v>
      </c>
      <c r="K144" s="5">
        <v>6</v>
      </c>
      <c r="L144" s="5">
        <v>4.5</v>
      </c>
      <c r="M144" s="5">
        <v>4.75</v>
      </c>
      <c r="N144" s="5">
        <f t="shared" si="26"/>
        <v>4.625</v>
      </c>
      <c r="O144" s="5">
        <f t="shared" si="27"/>
        <v>1.375</v>
      </c>
      <c r="P144" s="3">
        <f>IF(COUNTIFS(rating_events!$B$2:$B$13,C144,rating_events!$D$2:$D$13,"rating_upgrade")&gt;0,1,0)</f>
        <v>0</v>
      </c>
      <c r="Q144" s="3">
        <f>IF(COUNTIFS(rating_events!$B$2:$B$13,C144,rating_events!$D$2:$D$13,"rating_downgrade")&gt;0,1,0)</f>
        <v>0</v>
      </c>
      <c r="R144" s="3">
        <f>IF(COUNTIFS(rating_events!$B$2:$B$13,C144,rating_events!$D$2:$D$13,"outlook_improvement")&gt;0,1,0)</f>
        <v>0</v>
      </c>
      <c r="S144" s="3">
        <f>IF(COUNTIFS(rating_events!$B$2:$B$13,C144,rating_events!$D$2:$D$13,"outlook_deterioration")&gt;0,1,0)</f>
        <v>0</v>
      </c>
      <c r="T144" s="5">
        <v>24.1127</v>
      </c>
      <c r="U144" s="5">
        <v>19.7683</v>
      </c>
      <c r="V144" s="3">
        <v>1</v>
      </c>
      <c r="W144" s="3">
        <v>1</v>
      </c>
      <c r="X144" s="3">
        <f t="shared" si="28"/>
        <v>1</v>
      </c>
      <c r="Y144" s="3">
        <f t="shared" si="29"/>
        <v>1</v>
      </c>
    </row>
    <row r="145" spans="1:25" ht="18" customHeight="1">
      <c r="A145" s="3">
        <v>2024</v>
      </c>
      <c r="B145" s="3">
        <v>12</v>
      </c>
      <c r="C145" s="3">
        <f t="shared" si="24"/>
        <v>779</v>
      </c>
      <c r="D145" s="4">
        <v>16102</v>
      </c>
      <c r="E145" s="5">
        <f t="shared" si="25"/>
        <v>2.0901999999999958</v>
      </c>
      <c r="F145" s="5">
        <f>IF(COUNT(flow_components!C145:E145)=3,SUM(flow_components!C145:E145),"")</f>
        <v>-19.958333709000023</v>
      </c>
      <c r="G145" s="5">
        <v>140.17352</v>
      </c>
      <c r="H145" s="5">
        <v>108.48699999999999</v>
      </c>
      <c r="I145" s="5">
        <v>4.569</v>
      </c>
      <c r="J145" s="5">
        <v>17.350000000000001</v>
      </c>
      <c r="K145" s="5">
        <v>6</v>
      </c>
      <c r="L145" s="5">
        <v>4.25</v>
      </c>
      <c r="M145" s="5">
        <v>4.5</v>
      </c>
      <c r="N145" s="5">
        <f t="shared" si="26"/>
        <v>4.375</v>
      </c>
      <c r="O145" s="5">
        <f t="shared" si="27"/>
        <v>1.625</v>
      </c>
      <c r="P145" s="3">
        <f>IF(COUNTIFS(rating_events!$B$2:$B$13,C145,rating_events!$D$2:$D$13,"rating_upgrade")&gt;0,1,0)</f>
        <v>0</v>
      </c>
      <c r="Q145" s="3">
        <f>IF(COUNTIFS(rating_events!$B$2:$B$13,C145,rating_events!$D$2:$D$13,"rating_downgrade")&gt;0,1,0)</f>
        <v>0</v>
      </c>
      <c r="R145" s="3">
        <f>IF(COUNTIFS(rating_events!$B$2:$B$13,C145,rating_events!$D$2:$D$13,"outlook_improvement")&gt;0,1,0)</f>
        <v>0</v>
      </c>
      <c r="S145" s="3">
        <f>IF(COUNTIFS(rating_events!$B$2:$B$13,C145,rating_events!$D$2:$D$13,"outlook_deterioration")&gt;0,1,0)</f>
        <v>0</v>
      </c>
      <c r="T145" s="5">
        <v>23.599599999999999</v>
      </c>
      <c r="U145" s="5">
        <v>21.509400000000003</v>
      </c>
      <c r="V145" s="3">
        <v>1</v>
      </c>
      <c r="W145" s="3">
        <v>1</v>
      </c>
      <c r="X145" s="3">
        <f t="shared" si="28"/>
        <v>1</v>
      </c>
      <c r="Y145" s="3">
        <f t="shared" si="29"/>
        <v>1</v>
      </c>
    </row>
    <row r="146" spans="1:25" ht="18" customHeight="1">
      <c r="A146" s="3">
        <v>2025</v>
      </c>
      <c r="B146" s="3">
        <v>1</v>
      </c>
      <c r="C146" s="3">
        <f t="shared" si="24"/>
        <v>780</v>
      </c>
      <c r="D146" s="4">
        <v>16300</v>
      </c>
      <c r="E146" s="5">
        <f t="shared" si="25"/>
        <v>3.5402999999999984</v>
      </c>
      <c r="F146" s="5">
        <f>IF(COUNT(flow_components!C146:E146)=3,SUM(flow_components!C146:E146),"")</f>
        <v>11.887399848000024</v>
      </c>
      <c r="G146" s="5">
        <v>140.07284000000001</v>
      </c>
      <c r="H146" s="5">
        <v>108.37</v>
      </c>
      <c r="I146" s="5">
        <v>4.5387000000000004</v>
      </c>
      <c r="J146" s="5">
        <v>16.43</v>
      </c>
      <c r="K146" s="5">
        <v>5.75</v>
      </c>
      <c r="L146" s="5">
        <v>4.25</v>
      </c>
      <c r="M146" s="5">
        <v>4.5</v>
      </c>
      <c r="N146" s="5">
        <f t="shared" si="26"/>
        <v>4.375</v>
      </c>
      <c r="O146" s="5">
        <f t="shared" si="27"/>
        <v>1.375</v>
      </c>
      <c r="P146" s="3">
        <f>IF(COUNTIFS(rating_events!$B$2:$B$13,C146,rating_events!$D$2:$D$13,"rating_upgrade")&gt;0,1,0)</f>
        <v>0</v>
      </c>
      <c r="Q146" s="3">
        <f>IF(COUNTIFS(rating_events!$B$2:$B$13,C146,rating_events!$D$2:$D$13,"rating_downgrade")&gt;0,1,0)</f>
        <v>0</v>
      </c>
      <c r="R146" s="3">
        <f>IF(COUNTIFS(rating_events!$B$2:$B$13,C146,rating_events!$D$2:$D$13,"outlook_improvement")&gt;0,1,0)</f>
        <v>0</v>
      </c>
      <c r="S146" s="3">
        <f>IF(COUNTIFS(rating_events!$B$2:$B$13,C146,rating_events!$D$2:$D$13,"outlook_deterioration")&gt;0,1,0)</f>
        <v>0</v>
      </c>
      <c r="T146" s="5">
        <v>21.401599999999998</v>
      </c>
      <c r="U146" s="5">
        <v>17.8613</v>
      </c>
      <c r="V146" s="3">
        <v>1</v>
      </c>
      <c r="W146" s="3">
        <v>1</v>
      </c>
      <c r="X146" s="3">
        <f t="shared" si="28"/>
        <v>1</v>
      </c>
      <c r="Y146" s="3">
        <f t="shared" si="29"/>
        <v>1</v>
      </c>
    </row>
    <row r="147" spans="1:25" ht="18" customHeight="1">
      <c r="A147" s="3">
        <v>2025</v>
      </c>
      <c r="B147" s="3">
        <v>2</v>
      </c>
      <c r="C147" s="3">
        <f t="shared" si="24"/>
        <v>781</v>
      </c>
      <c r="D147" s="4">
        <v>16580</v>
      </c>
      <c r="E147" s="5">
        <f t="shared" si="25"/>
        <v>3.1555999999999997</v>
      </c>
      <c r="F147" s="5">
        <f>IF(COUNT(flow_components!C147:E147)=3,SUM(flow_components!C147:E147),"")</f>
        <v>-16.912691229000007</v>
      </c>
      <c r="G147" s="5">
        <v>138.27058</v>
      </c>
      <c r="H147" s="5">
        <v>107.614</v>
      </c>
      <c r="I147" s="5">
        <v>4.2081999999999997</v>
      </c>
      <c r="J147" s="5">
        <v>19.63</v>
      </c>
      <c r="K147" s="5">
        <v>5.75</v>
      </c>
      <c r="L147" s="5">
        <v>4.25</v>
      </c>
      <c r="M147" s="5">
        <v>4.5</v>
      </c>
      <c r="N147" s="5">
        <f t="shared" si="26"/>
        <v>4.375</v>
      </c>
      <c r="O147" s="5">
        <f t="shared" si="27"/>
        <v>1.375</v>
      </c>
      <c r="P147" s="3">
        <f>IF(COUNTIFS(rating_events!$B$2:$B$13,C147,rating_events!$D$2:$D$13,"rating_upgrade")&gt;0,1,0)</f>
        <v>0</v>
      </c>
      <c r="Q147" s="3">
        <f>IF(COUNTIFS(rating_events!$B$2:$B$13,C147,rating_events!$D$2:$D$13,"rating_downgrade")&gt;0,1,0)</f>
        <v>0</v>
      </c>
      <c r="R147" s="3">
        <f>IF(COUNTIFS(rating_events!$B$2:$B$13,C147,rating_events!$D$2:$D$13,"outlook_improvement")&gt;0,1,0)</f>
        <v>0</v>
      </c>
      <c r="S147" s="3">
        <f>IF(COUNTIFS(rating_events!$B$2:$B$13,C147,rating_events!$D$2:$D$13,"outlook_deterioration")&gt;0,1,0)</f>
        <v>0</v>
      </c>
      <c r="T147" s="5">
        <v>21.9345</v>
      </c>
      <c r="U147" s="5">
        <v>18.7789</v>
      </c>
      <c r="V147" s="3">
        <v>1</v>
      </c>
      <c r="W147" s="3">
        <v>1</v>
      </c>
      <c r="X147" s="3">
        <f t="shared" si="28"/>
        <v>1</v>
      </c>
      <c r="Y147" s="3">
        <f t="shared" si="29"/>
        <v>1</v>
      </c>
    </row>
    <row r="148" spans="1:25" ht="18" customHeight="1">
      <c r="A148" s="3">
        <v>2025</v>
      </c>
      <c r="B148" s="3">
        <v>3</v>
      </c>
      <c r="C148" s="3">
        <f t="shared" si="24"/>
        <v>782</v>
      </c>
      <c r="D148" s="4">
        <v>16560</v>
      </c>
      <c r="E148" s="5">
        <f t="shared" si="25"/>
        <v>4.2961999999999989</v>
      </c>
      <c r="F148" s="5">
        <f>IF(COUNT(flow_components!C148:E148)=3,SUM(flow_components!C148:E148),"")</f>
        <v>-2.2104322870000157</v>
      </c>
      <c r="G148" s="5">
        <v>140.33801</v>
      </c>
      <c r="H148" s="5">
        <v>104.21</v>
      </c>
      <c r="I148" s="5">
        <v>4.2053000000000003</v>
      </c>
      <c r="J148" s="5">
        <v>22.28</v>
      </c>
      <c r="K148" s="5">
        <v>5.75</v>
      </c>
      <c r="L148" s="5">
        <v>4.25</v>
      </c>
      <c r="M148" s="5">
        <v>4.5</v>
      </c>
      <c r="N148" s="5">
        <f t="shared" si="26"/>
        <v>4.375</v>
      </c>
      <c r="O148" s="5">
        <f t="shared" si="27"/>
        <v>1.375</v>
      </c>
      <c r="P148" s="3">
        <f>IF(COUNTIFS(rating_events!$B$2:$B$13,C148,rating_events!$D$2:$D$13,"rating_upgrade")&gt;0,1,0)</f>
        <v>0</v>
      </c>
      <c r="Q148" s="3">
        <f>IF(COUNTIFS(rating_events!$B$2:$B$13,C148,rating_events!$D$2:$D$13,"rating_downgrade")&gt;0,1,0)</f>
        <v>0</v>
      </c>
      <c r="R148" s="3">
        <f>IF(COUNTIFS(rating_events!$B$2:$B$13,C148,rating_events!$D$2:$D$13,"outlook_improvement")&gt;0,1,0)</f>
        <v>0</v>
      </c>
      <c r="S148" s="3">
        <f>IF(COUNTIFS(rating_events!$B$2:$B$13,C148,rating_events!$D$2:$D$13,"outlook_deterioration")&gt;0,1,0)</f>
        <v>0</v>
      </c>
      <c r="T148" s="5">
        <v>23.187999999999999</v>
      </c>
      <c r="U148" s="5">
        <v>18.8918</v>
      </c>
      <c r="V148" s="3">
        <v>1</v>
      </c>
      <c r="W148" s="3">
        <v>1</v>
      </c>
      <c r="X148" s="3">
        <f t="shared" si="28"/>
        <v>1</v>
      </c>
      <c r="Y148" s="3">
        <f t="shared" si="29"/>
        <v>1</v>
      </c>
    </row>
    <row r="149" spans="1:25" ht="18" customHeight="1">
      <c r="A149" s="3">
        <v>2025</v>
      </c>
      <c r="B149" s="3">
        <v>4</v>
      </c>
      <c r="C149" s="3">
        <f t="shared" si="24"/>
        <v>783</v>
      </c>
      <c r="D149" s="4">
        <v>16601</v>
      </c>
      <c r="E149" s="5">
        <f t="shared" si="25"/>
        <v>0.19660000000000011</v>
      </c>
      <c r="F149" s="5">
        <f>IF(COUNT(flow_components!C149:E149)=3,SUM(flow_components!C149:E149),"")</f>
        <v>-36.367522802999993</v>
      </c>
      <c r="G149" s="5">
        <v>134.83484999999999</v>
      </c>
      <c r="H149" s="5">
        <v>99.468000000000004</v>
      </c>
      <c r="I149" s="5">
        <v>4.1619000000000002</v>
      </c>
      <c r="J149" s="5">
        <v>24.7</v>
      </c>
      <c r="K149" s="5">
        <v>5.75</v>
      </c>
      <c r="L149" s="5">
        <v>4.25</v>
      </c>
      <c r="M149" s="5">
        <v>4.5</v>
      </c>
      <c r="N149" s="5">
        <f t="shared" si="26"/>
        <v>4.375</v>
      </c>
      <c r="O149" s="5">
        <f t="shared" si="27"/>
        <v>1.375</v>
      </c>
      <c r="P149" s="3">
        <f>IF(COUNTIFS(rating_events!$B$2:$B$13,C149,rating_events!$D$2:$D$13,"rating_upgrade")&gt;0,1,0)</f>
        <v>0</v>
      </c>
      <c r="Q149" s="3">
        <f>IF(COUNTIFS(rating_events!$B$2:$B$13,C149,rating_events!$D$2:$D$13,"rating_downgrade")&gt;0,1,0)</f>
        <v>0</v>
      </c>
      <c r="R149" s="3">
        <f>IF(COUNTIFS(rating_events!$B$2:$B$13,C149,rating_events!$D$2:$D$13,"outlook_improvement")&gt;0,1,0)</f>
        <v>0</v>
      </c>
      <c r="S149" s="3">
        <f>IF(COUNTIFS(rating_events!$B$2:$B$13,C149,rating_events!$D$2:$D$13,"outlook_deterioration")&gt;0,1,0)</f>
        <v>0</v>
      </c>
      <c r="T149" s="5">
        <v>20.725000000000001</v>
      </c>
      <c r="U149" s="5">
        <v>20.528400000000001</v>
      </c>
      <c r="V149" s="3">
        <v>1</v>
      </c>
      <c r="W149" s="3">
        <v>1</v>
      </c>
      <c r="X149" s="3">
        <f t="shared" si="28"/>
        <v>1</v>
      </c>
      <c r="Y149" s="3">
        <f t="shared" si="29"/>
        <v>1</v>
      </c>
    </row>
    <row r="150" spans="1:25" ht="18" customHeight="1">
      <c r="A150" s="3">
        <v>2025</v>
      </c>
      <c r="B150" s="3">
        <v>5</v>
      </c>
      <c r="C150" s="3">
        <f t="shared" si="24"/>
        <v>784</v>
      </c>
      <c r="D150" s="4">
        <v>16290</v>
      </c>
      <c r="E150" s="5">
        <f t="shared" si="25"/>
        <v>4.3115999999999985</v>
      </c>
      <c r="F150" s="5">
        <f>IF(COUNT(flow_components!C150:E150)=3,SUM(flow_components!C150:E150),"")</f>
        <v>36.291078270000007</v>
      </c>
      <c r="G150" s="5">
        <v>134.745654</v>
      </c>
      <c r="H150" s="5">
        <v>99.328999999999994</v>
      </c>
      <c r="I150" s="5">
        <v>4.4004000000000003</v>
      </c>
      <c r="J150" s="5">
        <v>18.57</v>
      </c>
      <c r="K150" s="5">
        <v>5.5</v>
      </c>
      <c r="L150" s="5">
        <v>4.25</v>
      </c>
      <c r="M150" s="5">
        <v>4.5</v>
      </c>
      <c r="N150" s="5">
        <f t="shared" si="26"/>
        <v>4.375</v>
      </c>
      <c r="O150" s="5">
        <f t="shared" si="27"/>
        <v>1.125</v>
      </c>
      <c r="P150" s="3">
        <f>IF(COUNTIFS(rating_events!$B$2:$B$13,C150,rating_events!$D$2:$D$13,"rating_upgrade")&gt;0,1,0)</f>
        <v>0</v>
      </c>
      <c r="Q150" s="3">
        <f>IF(COUNTIFS(rating_events!$B$2:$B$13,C150,rating_events!$D$2:$D$13,"rating_downgrade")&gt;0,1,0)</f>
        <v>0</v>
      </c>
      <c r="R150" s="3">
        <f>IF(COUNTIFS(rating_events!$B$2:$B$13,C150,rating_events!$D$2:$D$13,"outlook_improvement")&gt;0,1,0)</f>
        <v>0</v>
      </c>
      <c r="S150" s="3">
        <f>IF(COUNTIFS(rating_events!$B$2:$B$13,C150,rating_events!$D$2:$D$13,"outlook_deterioration")&gt;0,1,0)</f>
        <v>0</v>
      </c>
      <c r="T150" s="5">
        <v>24.586099999999998</v>
      </c>
      <c r="U150" s="5">
        <v>20.2745</v>
      </c>
      <c r="V150" s="3">
        <v>1</v>
      </c>
      <c r="W150" s="3">
        <v>1</v>
      </c>
      <c r="X150" s="3">
        <f t="shared" si="28"/>
        <v>1</v>
      </c>
      <c r="Y150" s="3">
        <f t="shared" si="29"/>
        <v>1</v>
      </c>
    </row>
    <row r="151" spans="1:25" ht="18" customHeight="1">
      <c r="A151" s="3">
        <v>2025</v>
      </c>
      <c r="B151" s="3">
        <v>6</v>
      </c>
      <c r="C151" s="3">
        <f t="shared" si="24"/>
        <v>785</v>
      </c>
      <c r="D151" s="4">
        <v>16238</v>
      </c>
      <c r="E151" s="5">
        <f t="shared" si="25"/>
        <v>4.0954999999999977</v>
      </c>
      <c r="F151" s="5">
        <f>IF(COUNT(flow_components!C151:E151)=3,SUM(flow_components!C151:E151),"")</f>
        <v>-20.043870402999996</v>
      </c>
      <c r="G151" s="5">
        <v>134.78324000000001</v>
      </c>
      <c r="H151" s="5">
        <v>96.875</v>
      </c>
      <c r="I151" s="5">
        <v>4.2279999999999998</v>
      </c>
      <c r="J151" s="5">
        <v>16.73</v>
      </c>
      <c r="K151" s="5">
        <v>5.5</v>
      </c>
      <c r="L151" s="5">
        <v>4.25</v>
      </c>
      <c r="M151" s="5">
        <v>4.5</v>
      </c>
      <c r="N151" s="5">
        <f t="shared" si="26"/>
        <v>4.375</v>
      </c>
      <c r="O151" s="5">
        <f t="shared" si="27"/>
        <v>1.125</v>
      </c>
      <c r="P151" s="3">
        <f>IF(COUNTIFS(rating_events!$B$2:$B$13,C151,rating_events!$D$2:$D$13,"rating_upgrade")&gt;0,1,0)</f>
        <v>0</v>
      </c>
      <c r="Q151" s="3">
        <f>IF(COUNTIFS(rating_events!$B$2:$B$13,C151,rating_events!$D$2:$D$13,"rating_downgrade")&gt;0,1,0)</f>
        <v>0</v>
      </c>
      <c r="R151" s="3">
        <f>IF(COUNTIFS(rating_events!$B$2:$B$13,C151,rating_events!$D$2:$D$13,"outlook_improvement")&gt;0,1,0)</f>
        <v>0</v>
      </c>
      <c r="S151" s="3">
        <f>IF(COUNTIFS(rating_events!$B$2:$B$13,C151,rating_events!$D$2:$D$13,"outlook_deterioration")&gt;0,1,0)</f>
        <v>0</v>
      </c>
      <c r="T151" s="5">
        <v>23.391400000000001</v>
      </c>
      <c r="U151" s="5">
        <v>19.295900000000003</v>
      </c>
      <c r="V151" s="3">
        <v>1</v>
      </c>
      <c r="W151" s="3">
        <v>1</v>
      </c>
      <c r="X151" s="3">
        <f t="shared" si="28"/>
        <v>1</v>
      </c>
      <c r="Y151" s="3">
        <f t="shared" si="29"/>
        <v>1</v>
      </c>
    </row>
    <row r="152" spans="1:25" ht="18" customHeight="1">
      <c r="A152" s="3">
        <v>2025</v>
      </c>
      <c r="B152" s="3">
        <v>7</v>
      </c>
      <c r="C152" s="3">
        <f t="shared" si="24"/>
        <v>786</v>
      </c>
      <c r="D152" s="4">
        <v>16455</v>
      </c>
      <c r="E152" s="5">
        <f t="shared" si="25"/>
        <v>4.1777999999999977</v>
      </c>
      <c r="F152" s="5">
        <f>IF(COUNT(flow_components!C152:E152)=3,SUM(flow_components!C152:E152),"")</f>
        <v>-34.590862562000012</v>
      </c>
      <c r="G152" s="5">
        <v>134.19089</v>
      </c>
      <c r="H152" s="5">
        <v>99.968000000000004</v>
      </c>
      <c r="I152" s="5">
        <v>4.3739999999999997</v>
      </c>
      <c r="J152" s="5">
        <v>16.72</v>
      </c>
      <c r="K152" s="5">
        <v>5.25</v>
      </c>
      <c r="L152" s="5">
        <v>4.25</v>
      </c>
      <c r="M152" s="5">
        <v>4.5</v>
      </c>
      <c r="N152" s="5">
        <f t="shared" si="26"/>
        <v>4.375</v>
      </c>
      <c r="O152" s="5">
        <f t="shared" si="27"/>
        <v>0.875</v>
      </c>
      <c r="P152" s="3">
        <f>IF(COUNTIFS(rating_events!$B$2:$B$13,C152,rating_events!$D$2:$D$13,"rating_upgrade")&gt;0,1,0)</f>
        <v>0</v>
      </c>
      <c r="Q152" s="3">
        <f>IF(COUNTIFS(rating_events!$B$2:$B$13,C152,rating_events!$D$2:$D$13,"rating_downgrade")&gt;0,1,0)</f>
        <v>0</v>
      </c>
      <c r="R152" s="3">
        <f>IF(COUNTIFS(rating_events!$B$2:$B$13,C152,rating_events!$D$2:$D$13,"outlook_improvement")&gt;0,1,0)</f>
        <v>0</v>
      </c>
      <c r="S152" s="3">
        <f>IF(COUNTIFS(rating_events!$B$2:$B$13,C152,rating_events!$D$2:$D$13,"outlook_deterioration")&gt;0,1,0)</f>
        <v>0</v>
      </c>
      <c r="T152" s="5">
        <v>24.722099999999998</v>
      </c>
      <c r="U152" s="5">
        <v>20.5443</v>
      </c>
      <c r="V152" s="3">
        <v>1</v>
      </c>
      <c r="W152" s="3">
        <v>1</v>
      </c>
      <c r="X152" s="3">
        <f t="shared" si="28"/>
        <v>1</v>
      </c>
      <c r="Y152" s="3">
        <f t="shared" si="29"/>
        <v>1</v>
      </c>
    </row>
    <row r="153" spans="1:25" ht="18" customHeight="1">
      <c r="A153" s="3">
        <v>2025</v>
      </c>
      <c r="B153" s="3">
        <v>8</v>
      </c>
      <c r="C153" s="3">
        <f t="shared" si="24"/>
        <v>787</v>
      </c>
      <c r="D153" s="4">
        <v>16490</v>
      </c>
      <c r="E153" s="5">
        <f t="shared" si="25"/>
        <v>5.5732999999999997</v>
      </c>
      <c r="F153" s="5">
        <f>IF(COUNT(flow_components!C153:E153)=3,SUM(flow_components!C153:E153),"")</f>
        <v>3.7549535690000013</v>
      </c>
      <c r="G153" s="5">
        <v>132.34536</v>
      </c>
      <c r="H153" s="5">
        <v>97.771000000000001</v>
      </c>
      <c r="I153" s="5">
        <v>4.2283999999999997</v>
      </c>
      <c r="J153" s="5">
        <v>15.36</v>
      </c>
      <c r="K153" s="5">
        <v>5</v>
      </c>
      <c r="L153" s="5">
        <v>4.25</v>
      </c>
      <c r="M153" s="5">
        <v>4.5</v>
      </c>
      <c r="N153" s="5">
        <f t="shared" si="26"/>
        <v>4.375</v>
      </c>
      <c r="O153" s="5">
        <f t="shared" si="27"/>
        <v>0.625</v>
      </c>
      <c r="P153" s="3">
        <f>IF(COUNTIFS(rating_events!$B$2:$B$13,C153,rating_events!$D$2:$D$13,"rating_upgrade")&gt;0,1,0)</f>
        <v>0</v>
      </c>
      <c r="Q153" s="3">
        <f>IF(COUNTIFS(rating_events!$B$2:$B$13,C153,rating_events!$D$2:$D$13,"rating_downgrade")&gt;0,1,0)</f>
        <v>0</v>
      </c>
      <c r="R153" s="3">
        <f>IF(COUNTIFS(rating_events!$B$2:$B$13,C153,rating_events!$D$2:$D$13,"outlook_improvement")&gt;0,1,0)</f>
        <v>0</v>
      </c>
      <c r="S153" s="3">
        <f>IF(COUNTIFS(rating_events!$B$2:$B$13,C153,rating_events!$D$2:$D$13,"outlook_deterioration")&gt;0,1,0)</f>
        <v>0</v>
      </c>
      <c r="T153" s="5">
        <v>24.9376</v>
      </c>
      <c r="U153" s="5">
        <v>19.3643</v>
      </c>
      <c r="V153" s="3">
        <v>1</v>
      </c>
      <c r="W153" s="3">
        <v>1</v>
      </c>
      <c r="X153" s="3">
        <f t="shared" si="28"/>
        <v>1</v>
      </c>
      <c r="Y153" s="3">
        <f t="shared" si="29"/>
        <v>1</v>
      </c>
    </row>
    <row r="154" spans="1:25" ht="18" customHeight="1">
      <c r="A154" s="3">
        <v>2025</v>
      </c>
      <c r="B154" s="3">
        <v>9</v>
      </c>
      <c r="C154" s="3">
        <f t="shared" si="24"/>
        <v>788</v>
      </c>
      <c r="D154" s="4">
        <v>16665</v>
      </c>
      <c r="E154" s="5">
        <f t="shared" si="25"/>
        <v>4.1980000000000004</v>
      </c>
      <c r="F154" s="5">
        <f>IF(COUNT(flow_components!C154:E154)=3,SUM(flow_components!C154:E154),"")</f>
        <v>-77.22674556299998</v>
      </c>
      <c r="G154" s="5">
        <v>128.94486000000001</v>
      </c>
      <c r="H154" s="5">
        <v>97.775000000000006</v>
      </c>
      <c r="I154" s="5">
        <v>4.1502999999999997</v>
      </c>
      <c r="J154" s="5">
        <v>16.28</v>
      </c>
      <c r="K154" s="5">
        <v>4.75</v>
      </c>
      <c r="L154" s="5">
        <v>4</v>
      </c>
      <c r="M154" s="5">
        <v>4.25</v>
      </c>
      <c r="N154" s="5">
        <f t="shared" si="26"/>
        <v>4.125</v>
      </c>
      <c r="O154" s="5">
        <f t="shared" si="27"/>
        <v>0.625</v>
      </c>
      <c r="P154" s="3">
        <f>IF(COUNTIFS(rating_events!$B$2:$B$13,C154,rating_events!$D$2:$D$13,"rating_upgrade")&gt;0,1,0)</f>
        <v>0</v>
      </c>
      <c r="Q154" s="3">
        <f>IF(COUNTIFS(rating_events!$B$2:$B$13,C154,rating_events!$D$2:$D$13,"rating_downgrade")&gt;0,1,0)</f>
        <v>0</v>
      </c>
      <c r="R154" s="3">
        <f>IF(COUNTIFS(rating_events!$B$2:$B$13,C154,rating_events!$D$2:$D$13,"outlook_improvement")&gt;0,1,0)</f>
        <v>0</v>
      </c>
      <c r="S154" s="3">
        <f>IF(COUNTIFS(rating_events!$B$2:$B$13,C154,rating_events!$D$2:$D$13,"outlook_deterioration")&gt;0,1,0)</f>
        <v>0</v>
      </c>
      <c r="T154" s="5">
        <v>24.664999999999999</v>
      </c>
      <c r="U154" s="5">
        <v>20.466999999999999</v>
      </c>
      <c r="V154" s="3">
        <v>1</v>
      </c>
      <c r="W154" s="3">
        <v>1</v>
      </c>
      <c r="X154" s="3">
        <f t="shared" si="28"/>
        <v>1</v>
      </c>
      <c r="Y154" s="3">
        <f t="shared" si="29"/>
        <v>1</v>
      </c>
    </row>
    <row r="155" spans="1:25" ht="18" customHeight="1">
      <c r="A155" s="3">
        <v>2025</v>
      </c>
      <c r="B155" s="3">
        <v>10</v>
      </c>
      <c r="C155" s="3">
        <f t="shared" si="24"/>
        <v>789</v>
      </c>
      <c r="D155" s="4">
        <v>16630</v>
      </c>
      <c r="E155" s="5">
        <f t="shared" si="25"/>
        <v>2.3737999999999992</v>
      </c>
      <c r="F155" s="5">
        <f>IF(COUNT(flow_components!C155:E155)=3,SUM(flow_components!C155:E155),"")</f>
        <v>-21.071700755000009</v>
      </c>
      <c r="G155" s="5">
        <v>129.16487537101</v>
      </c>
      <c r="H155" s="5">
        <v>99.804000000000002</v>
      </c>
      <c r="I155" s="5">
        <v>4.0774999999999997</v>
      </c>
      <c r="J155" s="5">
        <v>17.440000000000001</v>
      </c>
      <c r="K155" s="5">
        <v>4.75</v>
      </c>
      <c r="L155" s="5">
        <v>3.75</v>
      </c>
      <c r="M155" s="5">
        <v>4</v>
      </c>
      <c r="N155" s="5">
        <f t="shared" si="26"/>
        <v>3.875</v>
      </c>
      <c r="O155" s="5">
        <f t="shared" si="27"/>
        <v>0.875</v>
      </c>
      <c r="P155" s="3">
        <f>IF(COUNTIFS(rating_events!$B$2:$B$13,C155,rating_events!$D$2:$D$13,"rating_upgrade")&gt;0,1,0)</f>
        <v>0</v>
      </c>
      <c r="Q155" s="3">
        <f>IF(COUNTIFS(rating_events!$B$2:$B$13,C155,rating_events!$D$2:$D$13,"rating_downgrade")&gt;0,1,0)</f>
        <v>0</v>
      </c>
      <c r="R155" s="3">
        <f>IF(COUNTIFS(rating_events!$B$2:$B$13,C155,rating_events!$D$2:$D$13,"outlook_improvement")&gt;0,1,0)</f>
        <v>0</v>
      </c>
      <c r="S155" s="3">
        <f>IF(COUNTIFS(rating_events!$B$2:$B$13,C155,rating_events!$D$2:$D$13,"outlook_deterioration")&gt;0,1,0)</f>
        <v>0</v>
      </c>
      <c r="T155" s="5">
        <v>24.186199999999999</v>
      </c>
      <c r="U155" s="5">
        <v>21.8124</v>
      </c>
      <c r="V155" s="3">
        <v>1</v>
      </c>
      <c r="W155" s="3">
        <v>1</v>
      </c>
      <c r="X155" s="3">
        <f t="shared" si="28"/>
        <v>1</v>
      </c>
      <c r="Y155" s="3">
        <f t="shared" si="29"/>
        <v>1</v>
      </c>
    </row>
    <row r="156" spans="1:25" ht="18" customHeight="1">
      <c r="A156" s="3">
        <v>2025</v>
      </c>
      <c r="B156" s="3">
        <v>11</v>
      </c>
      <c r="C156" s="3">
        <f t="shared" si="24"/>
        <v>790</v>
      </c>
      <c r="D156" s="4">
        <v>16660</v>
      </c>
      <c r="E156" s="5">
        <f t="shared" si="25"/>
        <v>2.7048999999999985</v>
      </c>
      <c r="F156" s="5">
        <f>IF(COUNT(flow_components!C156:E156)=3,SUM(flow_components!C156:E156),"")</f>
        <v>6.1423388280000077</v>
      </c>
      <c r="G156" s="5">
        <v>129.33295636168</v>
      </c>
      <c r="H156" s="5">
        <v>99.459000000000003</v>
      </c>
      <c r="I156" s="5">
        <v>4.0132000000000003</v>
      </c>
      <c r="J156" s="5">
        <v>16.350000000000001</v>
      </c>
      <c r="K156" s="5">
        <v>4.75</v>
      </c>
      <c r="L156" s="5">
        <v>3.75</v>
      </c>
      <c r="M156" s="5">
        <v>4</v>
      </c>
      <c r="N156" s="5">
        <f t="shared" si="26"/>
        <v>3.875</v>
      </c>
      <c r="O156" s="5">
        <f t="shared" si="27"/>
        <v>0.875</v>
      </c>
      <c r="P156" s="3">
        <f>IF(COUNTIFS(rating_events!$B$2:$B$13,C156,rating_events!$D$2:$D$13,"rating_upgrade")&gt;0,1,0)</f>
        <v>0</v>
      </c>
      <c r="Q156" s="3">
        <f>IF(COUNTIFS(rating_events!$B$2:$B$13,C156,rating_events!$D$2:$D$13,"rating_downgrade")&gt;0,1,0)</f>
        <v>0</v>
      </c>
      <c r="R156" s="3">
        <f>IF(COUNTIFS(rating_events!$B$2:$B$13,C156,rating_events!$D$2:$D$13,"outlook_improvement")&gt;0,1,0)</f>
        <v>0</v>
      </c>
      <c r="S156" s="3">
        <f>IF(COUNTIFS(rating_events!$B$2:$B$13,C156,rating_events!$D$2:$D$13,"outlook_deterioration")&gt;0,1,0)</f>
        <v>0</v>
      </c>
      <c r="T156" s="5">
        <v>22.477599999999999</v>
      </c>
      <c r="U156" s="5">
        <v>19.7727</v>
      </c>
      <c r="V156" s="3">
        <v>1</v>
      </c>
      <c r="W156" s="3">
        <v>1</v>
      </c>
      <c r="X156" s="3">
        <f t="shared" si="28"/>
        <v>1</v>
      </c>
      <c r="Y156" s="3">
        <f t="shared" si="29"/>
        <v>1</v>
      </c>
    </row>
    <row r="157" spans="1:25" ht="18" customHeight="1">
      <c r="A157" s="3">
        <v>2025</v>
      </c>
      <c r="B157" s="3">
        <v>12</v>
      </c>
      <c r="C157" s="3">
        <f t="shared" si="24"/>
        <v>791</v>
      </c>
      <c r="D157" s="4">
        <v>16690</v>
      </c>
      <c r="E157" s="5">
        <f t="shared" si="25"/>
        <v>2.5191000000000052</v>
      </c>
      <c r="F157" s="5">
        <f>IF(COUNT(flow_components!C157:E157)=3,SUM(flow_components!C157:E157),"")</f>
        <v>46.115777927000003</v>
      </c>
      <c r="G157" s="5">
        <v>135.14088584896001</v>
      </c>
      <c r="H157" s="5">
        <v>98.322000000000003</v>
      </c>
      <c r="I157" s="5">
        <v>4.1669999999999998</v>
      </c>
      <c r="J157" s="5">
        <v>14.95</v>
      </c>
      <c r="K157" s="5">
        <v>4.75</v>
      </c>
      <c r="L157" s="5">
        <v>3.5</v>
      </c>
      <c r="M157" s="5">
        <v>3.75</v>
      </c>
      <c r="N157" s="5">
        <f t="shared" si="26"/>
        <v>3.625</v>
      </c>
      <c r="O157" s="5">
        <f t="shared" si="27"/>
        <v>1.125</v>
      </c>
      <c r="P157" s="3">
        <f>IF(COUNTIFS(rating_events!$B$2:$B$13,C157,rating_events!$D$2:$D$13,"rating_upgrade")&gt;0,1,0)</f>
        <v>0</v>
      </c>
      <c r="Q157" s="3">
        <f>IF(COUNTIFS(rating_events!$B$2:$B$13,C157,rating_events!$D$2:$D$13,"rating_downgrade")&gt;0,1,0)</f>
        <v>0</v>
      </c>
      <c r="R157" s="3">
        <f>IF(COUNTIFS(rating_events!$B$2:$B$13,C157,rating_events!$D$2:$D$13,"outlook_improvement")&gt;0,1,0)</f>
        <v>0</v>
      </c>
      <c r="S157" s="3">
        <f>IF(COUNTIFS(rating_events!$B$2:$B$13,C157,rating_events!$D$2:$D$13,"outlook_deterioration")&gt;0,1,0)</f>
        <v>0</v>
      </c>
      <c r="T157" s="5">
        <v>26.290200000000002</v>
      </c>
      <c r="U157" s="5">
        <v>23.771099999999997</v>
      </c>
      <c r="V157" s="3">
        <v>1</v>
      </c>
      <c r="W157" s="3">
        <v>1</v>
      </c>
      <c r="X157" s="3">
        <f t="shared" si="28"/>
        <v>1</v>
      </c>
      <c r="Y157" s="3">
        <f t="shared" si="29"/>
        <v>1</v>
      </c>
    </row>
    <row r="158" spans="1:25" ht="18" customHeight="1">
      <c r="A158" s="3">
        <v>2026</v>
      </c>
      <c r="B158" s="3">
        <v>1</v>
      </c>
      <c r="C158" s="3">
        <f t="shared" si="24"/>
        <v>792</v>
      </c>
      <c r="D158" s="4">
        <v>16785</v>
      </c>
      <c r="E158" s="5">
        <f t="shared" si="25"/>
        <v>0.95429999999999637</v>
      </c>
      <c r="F158" s="5">
        <f>IF(COUNT(flow_components!C158:E158)=3,SUM(flow_components!C158:E158),"")</f>
        <v>-1.93013278100001</v>
      </c>
      <c r="G158" s="5">
        <v>130.63996747328</v>
      </c>
      <c r="H158" s="5">
        <v>96.991</v>
      </c>
      <c r="I158" s="5">
        <v>4.2355</v>
      </c>
      <c r="J158" s="5">
        <v>17.440000000000001</v>
      </c>
      <c r="K158" s="5">
        <v>4.75</v>
      </c>
      <c r="L158" s="5">
        <v>3.5</v>
      </c>
      <c r="M158" s="5">
        <v>3.75</v>
      </c>
      <c r="N158" s="5">
        <f t="shared" si="26"/>
        <v>3.625</v>
      </c>
      <c r="O158" s="5">
        <f t="shared" si="27"/>
        <v>1.125</v>
      </c>
      <c r="P158" s="3">
        <f>IF(COUNTIFS(rating_events!$B$2:$B$13,C158,rating_events!$D$2:$D$13,"rating_upgrade")&gt;0,1,0)</f>
        <v>0</v>
      </c>
      <c r="Q158" s="3">
        <f>IF(COUNTIFS(rating_events!$B$2:$B$13,C158,rating_events!$D$2:$D$13,"rating_downgrade")&gt;0,1,0)</f>
        <v>0</v>
      </c>
      <c r="R158" s="3">
        <f>IF(COUNTIFS(rating_events!$B$2:$B$13,C158,rating_events!$D$2:$D$13,"outlook_improvement")&gt;0,1,0)</f>
        <v>0</v>
      </c>
      <c r="S158" s="3">
        <f>IF(COUNTIFS(rating_events!$B$2:$B$13,C158,rating_events!$D$2:$D$13,"outlook_deterioration")&gt;0,1,0)</f>
        <v>0</v>
      </c>
      <c r="T158" s="5">
        <v>22.1557</v>
      </c>
      <c r="U158" s="5">
        <v>21.201400000000003</v>
      </c>
      <c r="V158" s="3">
        <v>1</v>
      </c>
      <c r="W158" s="3">
        <v>1</v>
      </c>
      <c r="X158" s="3">
        <f t="shared" si="28"/>
        <v>1</v>
      </c>
      <c r="Y158" s="3">
        <f t="shared" si="29"/>
        <v>1</v>
      </c>
    </row>
    <row r="159" spans="1:25" ht="18" customHeight="1">
      <c r="A159" s="3">
        <v>2026</v>
      </c>
      <c r="B159" s="3">
        <v>2</v>
      </c>
      <c r="C159" s="3">
        <f t="shared" si="24"/>
        <v>793</v>
      </c>
      <c r="D159" s="4">
        <v>16771</v>
      </c>
      <c r="E159" s="5">
        <f t="shared" si="25"/>
        <v>1.273299999999999</v>
      </c>
      <c r="F159" s="5">
        <f>IF(COUNT(flow_components!C159:E159)=3,SUM(flow_components!C159:E159),"")</f>
        <v>25.869495319000098</v>
      </c>
      <c r="G159" s="5">
        <v>127.96502489078999</v>
      </c>
      <c r="H159" s="5">
        <v>97.608000000000004</v>
      </c>
      <c r="I159" s="5">
        <v>3.9375</v>
      </c>
      <c r="J159" s="5">
        <v>19.86</v>
      </c>
      <c r="K159" s="5">
        <v>4.75</v>
      </c>
      <c r="L159" s="5">
        <v>3.5</v>
      </c>
      <c r="M159" s="5">
        <v>3.75</v>
      </c>
      <c r="N159" s="5">
        <f t="shared" si="26"/>
        <v>3.625</v>
      </c>
      <c r="O159" s="5">
        <f t="shared" si="27"/>
        <v>1.125</v>
      </c>
      <c r="P159" s="3">
        <f>IF(COUNTIFS(rating_events!$B$2:$B$13,C159,rating_events!$D$2:$D$13,"rating_upgrade")&gt;0,1,0)</f>
        <v>0</v>
      </c>
      <c r="Q159" s="3">
        <f>IF(COUNTIFS(rating_events!$B$2:$B$13,C159,rating_events!$D$2:$D$13,"rating_downgrade")&gt;0,1,0)</f>
        <v>0</v>
      </c>
      <c r="R159" s="3">
        <f>IF(COUNTIFS(rating_events!$B$2:$B$13,C159,rating_events!$D$2:$D$13,"outlook_improvement")&gt;0,1,0)</f>
        <v>0</v>
      </c>
      <c r="S159" s="3">
        <f>IF(COUNTIFS(rating_events!$B$2:$B$13,C159,rating_events!$D$2:$D$13,"outlook_deterioration")&gt;0,1,0)</f>
        <v>1</v>
      </c>
      <c r="T159" s="5">
        <v>22.166799999999999</v>
      </c>
      <c r="U159" s="5">
        <v>20.8935</v>
      </c>
      <c r="V159" s="3">
        <v>1</v>
      </c>
      <c r="W159" s="3">
        <v>1</v>
      </c>
      <c r="X159" s="3">
        <f t="shared" si="28"/>
        <v>1</v>
      </c>
      <c r="Y159" s="3">
        <f t="shared" si="29"/>
        <v>1</v>
      </c>
    </row>
    <row r="160" spans="1:25" ht="18" customHeight="1">
      <c r="A160" s="3">
        <v>2026</v>
      </c>
      <c r="B160" s="3">
        <v>3</v>
      </c>
      <c r="C160" s="3">
        <f t="shared" si="24"/>
        <v>794</v>
      </c>
      <c r="D160" s="4">
        <v>16995</v>
      </c>
      <c r="E160" s="5">
        <f t="shared" si="25"/>
        <v>3.320999999999998</v>
      </c>
      <c r="F160" s="5">
        <f>IF(COUNT(flow_components!C160:E160)=3,SUM(flow_components!C160:E160),"")</f>
        <v>-52.030053202000062</v>
      </c>
      <c r="G160" s="5">
        <v>126.03796157782001</v>
      </c>
      <c r="H160" s="5">
        <v>99.960999999999999</v>
      </c>
      <c r="I160" s="5">
        <v>4.3166000000000002</v>
      </c>
      <c r="J160" s="5">
        <v>25.25</v>
      </c>
      <c r="K160" s="5">
        <v>4.75</v>
      </c>
      <c r="L160" s="5">
        <v>3.5</v>
      </c>
      <c r="M160" s="5">
        <v>3.75</v>
      </c>
      <c r="N160" s="5">
        <f t="shared" si="26"/>
        <v>3.625</v>
      </c>
      <c r="O160" s="5">
        <f t="shared" si="27"/>
        <v>1.125</v>
      </c>
      <c r="P160" s="3">
        <f>IF(COUNTIFS(rating_events!$B$2:$B$13,C160,rating_events!$D$2:$D$13,"rating_upgrade")&gt;0,1,0)</f>
        <v>0</v>
      </c>
      <c r="Q160" s="3">
        <f>IF(COUNTIFS(rating_events!$B$2:$B$13,C160,rating_events!$D$2:$D$13,"rating_downgrade")&gt;0,1,0)</f>
        <v>0</v>
      </c>
      <c r="R160" s="3">
        <f>IF(COUNTIFS(rating_events!$B$2:$B$13,C160,rating_events!$D$2:$D$13,"outlook_improvement")&gt;0,1,0)</f>
        <v>0</v>
      </c>
      <c r="S160" s="3">
        <f>IF(COUNTIFS(rating_events!$B$2:$B$13,C160,rating_events!$D$2:$D$13,"outlook_deterioration")&gt;0,1,0)</f>
        <v>1</v>
      </c>
      <c r="T160" s="5">
        <v>22.526799999999998</v>
      </c>
      <c r="U160" s="5">
        <v>19.2058</v>
      </c>
      <c r="V160" s="3">
        <v>1</v>
      </c>
      <c r="W160" s="3">
        <v>1</v>
      </c>
      <c r="X160" s="3">
        <f t="shared" si="28"/>
        <v>1</v>
      </c>
      <c r="Y160" s="3">
        <f t="shared" si="29"/>
        <v>1</v>
      </c>
    </row>
    <row r="161" spans="1:25" ht="18" customHeight="1">
      <c r="A161" s="3">
        <v>2026</v>
      </c>
      <c r="B161" s="3">
        <v>4</v>
      </c>
      <c r="C161" s="3">
        <f t="shared" si="24"/>
        <v>795</v>
      </c>
      <c r="D161" s="4">
        <v>17353</v>
      </c>
      <c r="E161" s="5">
        <f t="shared" si="25"/>
        <v>8.9099999999998403E-2</v>
      </c>
      <c r="F161" s="5">
        <f>IF(COUNT(flow_components!C161:E161)=3,SUM(flow_components!C161:E161),"")</f>
        <v>44.605641524999996</v>
      </c>
      <c r="G161" s="5">
        <v>123.94863504736</v>
      </c>
      <c r="H161" s="5">
        <v>98.055999999999997</v>
      </c>
      <c r="I161" s="5">
        <v>4.3705999999999996</v>
      </c>
      <c r="J161" s="5">
        <v>16.89</v>
      </c>
      <c r="K161" s="5">
        <v>4.75</v>
      </c>
      <c r="L161" s="5">
        <v>3.5</v>
      </c>
      <c r="M161" s="5">
        <v>3.75</v>
      </c>
      <c r="N161" s="5">
        <f t="shared" si="26"/>
        <v>3.625</v>
      </c>
      <c r="O161" s="5">
        <f t="shared" si="27"/>
        <v>1.125</v>
      </c>
      <c r="P161" s="3">
        <f>IF(COUNTIFS(rating_events!$B$2:$B$13,C161,rating_events!$D$2:$D$13,"rating_upgrade")&gt;0,1,0)</f>
        <v>0</v>
      </c>
      <c r="Q161" s="3">
        <f>IF(COUNTIFS(rating_events!$B$2:$B$13,C161,rating_events!$D$2:$D$13,"rating_downgrade")&gt;0,1,0)</f>
        <v>0</v>
      </c>
      <c r="R161" s="3">
        <f>IF(COUNTIFS(rating_events!$B$2:$B$13,C161,rating_events!$D$2:$D$13,"outlook_improvement")&gt;0,1,0)</f>
        <v>0</v>
      </c>
      <c r="S161" s="3">
        <f>IF(COUNTIFS(rating_events!$B$2:$B$13,C161,rating_events!$D$2:$D$13,"outlook_deterioration")&gt;0,1,0)</f>
        <v>0</v>
      </c>
      <c r="T161" s="5">
        <v>25.302799999999998</v>
      </c>
      <c r="U161" s="5">
        <v>25.213699999999999</v>
      </c>
      <c r="V161" s="3">
        <v>1</v>
      </c>
      <c r="W161" s="3">
        <v>1</v>
      </c>
      <c r="X161" s="3">
        <f t="shared" si="28"/>
        <v>1</v>
      </c>
      <c r="Y161" s="3">
        <f t="shared" si="29"/>
        <v>1</v>
      </c>
    </row>
    <row r="162" spans="1:25" ht="18" customHeight="1">
      <c r="A162" s="3">
        <v>2026</v>
      </c>
      <c r="B162" s="3">
        <v>5</v>
      </c>
      <c r="C162" s="3">
        <f t="shared" ref="C162:C193" si="30">12*(A162-1960)+B162-1</f>
        <v>796</v>
      </c>
      <c r="D162" s="4">
        <v>17874</v>
      </c>
      <c r="E162" s="5">
        <f t="shared" si="25"/>
        <v>-1.6102000000000025</v>
      </c>
      <c r="F162" s="5">
        <f>IF(COUNT(flow_components!C162:E162)=3,SUM(flow_components!C162:E162),"")</f>
        <v>16.511970679000036</v>
      </c>
      <c r="G162" s="5">
        <v>122.86978999999999</v>
      </c>
      <c r="H162" s="5">
        <v>98.941999999999993</v>
      </c>
      <c r="I162" s="5">
        <v>4.4355000000000002</v>
      </c>
      <c r="J162" s="5">
        <v>15.32</v>
      </c>
      <c r="K162" s="5">
        <v>5.25</v>
      </c>
      <c r="L162" s="5">
        <v>3.5</v>
      </c>
      <c r="M162" s="5">
        <v>3.75</v>
      </c>
      <c r="N162" s="5">
        <f t="shared" ref="N162:N193" si="31">(L162+M162)/2</f>
        <v>3.625</v>
      </c>
      <c r="O162" s="5">
        <f t="shared" ref="O162:O193" si="32">K162-N162</f>
        <v>1.625</v>
      </c>
      <c r="P162" s="3">
        <f>IF(COUNTIFS(rating_events!$B$2:$B$13,C162,rating_events!$D$2:$D$13,"rating_upgrade")&gt;0,1,0)</f>
        <v>0</v>
      </c>
      <c r="Q162" s="3">
        <f>IF(COUNTIFS(rating_events!$B$2:$B$13,C162,rating_events!$D$2:$D$13,"rating_downgrade")&gt;0,1,0)</f>
        <v>0</v>
      </c>
      <c r="R162" s="3">
        <f>IF(COUNTIFS(rating_events!$B$2:$B$13,C162,rating_events!$D$2:$D$13,"outlook_improvement")&gt;0,1,0)</f>
        <v>0</v>
      </c>
      <c r="S162" s="3">
        <f>IF(COUNTIFS(rating_events!$B$2:$B$13,C162,rating_events!$D$2:$D$13,"outlook_deterioration")&gt;0,1,0)</f>
        <v>0</v>
      </c>
      <c r="T162" s="5">
        <v>23.203499999999998</v>
      </c>
      <c r="U162" s="5">
        <v>24.813700000000001</v>
      </c>
      <c r="V162" s="3">
        <v>1</v>
      </c>
      <c r="W162" s="3">
        <v>1</v>
      </c>
      <c r="X162" s="3">
        <f t="shared" ref="X162:X193" si="33">IF(AND(A162&gt;=2014,Y162=1),1,0)</f>
        <v>1</v>
      </c>
      <c r="Y162" s="3">
        <f t="shared" si="29"/>
        <v>1</v>
      </c>
    </row>
    <row r="163" spans="1:25" ht="18" customHeight="1">
      <c r="A163" s="3">
        <v>2026</v>
      </c>
      <c r="B163" s="3">
        <v>6</v>
      </c>
      <c r="C163" s="3">
        <f t="shared" si="30"/>
        <v>797</v>
      </c>
      <c r="D163" s="4">
        <v>17882</v>
      </c>
      <c r="E163" s="5">
        <f t="shared" si="25"/>
        <v>-0.45050000000000168</v>
      </c>
      <c r="F163" s="5">
        <f>IF(COUNT(flow_components!C163:E163)=3,SUM(flow_components!C163:E163),"")</f>
        <v>79.462662752999975</v>
      </c>
      <c r="G163" s="5">
        <v>125.00650585964</v>
      </c>
      <c r="H163" s="5">
        <v>101.187</v>
      </c>
      <c r="I163" s="5">
        <v>4.4652000000000003</v>
      </c>
      <c r="J163" s="5">
        <v>16.45</v>
      </c>
      <c r="K163" s="5">
        <v>5.75</v>
      </c>
      <c r="L163" s="5">
        <v>3.5</v>
      </c>
      <c r="M163" s="5">
        <v>3.75</v>
      </c>
      <c r="N163" s="5">
        <f t="shared" si="31"/>
        <v>3.625</v>
      </c>
      <c r="O163" s="5">
        <f t="shared" si="32"/>
        <v>2.125</v>
      </c>
      <c r="P163" s="3">
        <f>IF(COUNTIFS(rating_events!$B$2:$B$13,C163,rating_events!$D$2:$D$13,"rating_upgrade")&gt;0,1,0)</f>
        <v>0</v>
      </c>
      <c r="Q163" s="3">
        <f>IF(COUNTIFS(rating_events!$B$2:$B$13,C163,rating_events!$D$2:$D$13,"rating_downgrade")&gt;0,1,0)</f>
        <v>0</v>
      </c>
      <c r="R163" s="3">
        <f>IF(COUNTIFS(rating_events!$B$2:$B$13,C163,rating_events!$D$2:$D$13,"outlook_improvement")&gt;0,1,0)</f>
        <v>0</v>
      </c>
      <c r="S163" s="3">
        <f>IF(COUNTIFS(rating_events!$B$2:$B$13,C163,rating_events!$D$2:$D$13,"outlook_deterioration")&gt;0,1,0)</f>
        <v>0</v>
      </c>
      <c r="T163" s="5">
        <v>25.4587</v>
      </c>
      <c r="U163" s="5">
        <v>25.909200000000002</v>
      </c>
      <c r="V163" s="3">
        <v>1</v>
      </c>
      <c r="W163" s="3">
        <v>1</v>
      </c>
      <c r="X163" s="3">
        <f t="shared" si="33"/>
        <v>1</v>
      </c>
      <c r="Y163" s="3">
        <f t="shared" si="29"/>
        <v>1</v>
      </c>
    </row>
    <row r="164" spans="1:25" ht="18" customHeight="1">
      <c r="A164" s="3">
        <v>2026</v>
      </c>
      <c r="B164" s="3">
        <v>7</v>
      </c>
      <c r="C164" s="3">
        <f t="shared" si="30"/>
        <v>798</v>
      </c>
      <c r="D164" s="4">
        <v>18000</v>
      </c>
      <c r="E164" s="5">
        <f t="shared" si="25"/>
        <v>0.12190000000000012</v>
      </c>
      <c r="F164" s="5">
        <f>IF(COUNT(flow_components!C164:E164)=3,SUM(flow_components!C164:E164),"")</f>
        <v>2.3217369780000041</v>
      </c>
      <c r="G164" s="5">
        <v>124.64233252728</v>
      </c>
      <c r="H164" s="5">
        <v>99.914000000000001</v>
      </c>
      <c r="I164" s="5">
        <v>4.7347000000000001</v>
      </c>
      <c r="J164" s="5">
        <v>15.99</v>
      </c>
      <c r="K164" s="5">
        <v>5.75</v>
      </c>
      <c r="L164" s="5">
        <v>3.5</v>
      </c>
      <c r="M164" s="5">
        <v>3.75</v>
      </c>
      <c r="N164" s="5">
        <f t="shared" si="31"/>
        <v>3.625</v>
      </c>
      <c r="O164" s="5">
        <f t="shared" si="32"/>
        <v>2.125</v>
      </c>
      <c r="P164" s="3">
        <f>IF(COUNTIFS(rating_events!$B$2:$B$13,C164,rating_events!$D$2:$D$13,"rating_upgrade")&gt;0,1,0)</f>
        <v>0</v>
      </c>
      <c r="Q164" s="3">
        <f>IF(COUNTIFS(rating_events!$B$2:$B$13,C164,rating_events!$D$2:$D$13,"rating_downgrade")&gt;0,1,0)</f>
        <v>0</v>
      </c>
      <c r="R164" s="3">
        <f>IF(COUNTIFS(rating_events!$B$2:$B$13,C164,rating_events!$D$2:$D$13,"outlook_improvement")&gt;0,1,0)</f>
        <v>0</v>
      </c>
      <c r="S164" s="3">
        <f>IF(COUNTIFS(rating_events!$B$2:$B$13,C164,rating_events!$D$2:$D$13,"outlook_deterioration")&gt;0,1,0)</f>
        <v>0</v>
      </c>
      <c r="T164" s="5">
        <v>26.216699999999999</v>
      </c>
      <c r="U164" s="5">
        <v>26.094799999999999</v>
      </c>
      <c r="V164" s="3">
        <v>1</v>
      </c>
      <c r="W164" s="3">
        <v>1</v>
      </c>
      <c r="X164" s="3">
        <f t="shared" si="33"/>
        <v>1</v>
      </c>
      <c r="Y164" s="3">
        <f t="shared" si="29"/>
        <v>1</v>
      </c>
    </row>
    <row r="165" spans="1:25" ht="18" customHeight="1">
      <c r="A165" s="3">
        <v>2026</v>
      </c>
      <c r="B165" s="3">
        <v>8</v>
      </c>
      <c r="C165" s="3">
        <f t="shared" si="30"/>
        <v>799</v>
      </c>
      <c r="D165" s="4">
        <v>17720</v>
      </c>
      <c r="E165" s="5">
        <f t="shared" si="25"/>
        <v>3.5522000000000027</v>
      </c>
      <c r="F165" s="5">
        <f>IF(COUNT(flow_components!C165:E165)=3,SUM(flow_components!C165:E165),"")</f>
        <v>24.138934531999922</v>
      </c>
      <c r="G165" s="5">
        <v>124.66818860868</v>
      </c>
      <c r="H165" s="5">
        <v>99.427999999999997</v>
      </c>
      <c r="I165" s="5">
        <v>4.75</v>
      </c>
      <c r="J165" s="5">
        <v>14.92</v>
      </c>
      <c r="K165" s="5">
        <v>5.75</v>
      </c>
      <c r="L165" s="5">
        <v>3.5</v>
      </c>
      <c r="M165" s="5">
        <v>3.75</v>
      </c>
      <c r="N165" s="5">
        <f t="shared" si="31"/>
        <v>3.625</v>
      </c>
      <c r="O165" s="5">
        <f t="shared" si="32"/>
        <v>2.125</v>
      </c>
      <c r="P165" s="3">
        <f>IF(COUNTIFS(rating_events!$B$2:$B$13,C165,rating_events!$D$2:$D$13,"rating_upgrade")&gt;0,1,0)</f>
        <v>0</v>
      </c>
      <c r="Q165" s="3">
        <f>IF(COUNTIFS(rating_events!$B$2:$B$13,C165,rating_events!$D$2:$D$13,"rating_downgrade")&gt;0,1,0)</f>
        <v>0</v>
      </c>
      <c r="R165" s="3">
        <f>IF(COUNTIFS(rating_events!$B$2:$B$13,C165,rating_events!$D$2:$D$13,"outlook_improvement")&gt;0,1,0)</f>
        <v>0</v>
      </c>
      <c r="S165" s="3">
        <f>IF(COUNTIFS(rating_events!$B$2:$B$13,C165,rating_events!$D$2:$D$13,"outlook_deterioration")&gt;0,1,0)</f>
        <v>0</v>
      </c>
      <c r="T165" s="5">
        <v>26.612200000000001</v>
      </c>
      <c r="U165" s="5">
        <v>23.06</v>
      </c>
      <c r="V165" s="3">
        <v>1</v>
      </c>
      <c r="W165" s="3">
        <v>1</v>
      </c>
      <c r="X165" s="3">
        <f t="shared" si="33"/>
        <v>1</v>
      </c>
      <c r="Y165" s="3">
        <f t="shared" si="29"/>
        <v>1</v>
      </c>
    </row>
    <row r="166" spans="1:25" ht="18" customHeight="1">
      <c r="A166" s="3">
        <v>2026</v>
      </c>
      <c r="B166" s="3">
        <v>9</v>
      </c>
      <c r="C166" s="3">
        <f t="shared" si="30"/>
        <v>800</v>
      </c>
      <c r="D166" s="4">
        <v>17870</v>
      </c>
      <c r="E166" s="5" t="str">
        <f t="shared" si="25"/>
        <v/>
      </c>
      <c r="F166" s="5">
        <f>IF(COUNT(flow_components!C166:E166)=3,SUM(flow_components!C166:E166),"")</f>
        <v>-12.099098999999926</v>
      </c>
      <c r="G166" s="5">
        <v>125.18737</v>
      </c>
      <c r="H166" s="5">
        <v>101.45099999999999</v>
      </c>
      <c r="I166" s="5">
        <v>5.2849000000000004</v>
      </c>
      <c r="J166" s="5">
        <v>16.34</v>
      </c>
      <c r="K166" s="5">
        <v>5.75</v>
      </c>
      <c r="L166" s="5">
        <v>3.75</v>
      </c>
      <c r="M166" s="5">
        <v>4</v>
      </c>
      <c r="N166" s="5">
        <f t="shared" si="31"/>
        <v>3.875</v>
      </c>
      <c r="O166" s="5">
        <f t="shared" si="32"/>
        <v>1.875</v>
      </c>
      <c r="P166" s="3">
        <f>IF(COUNTIFS(rating_events!$B$2:$B$13,C166,rating_events!$D$2:$D$13,"rating_upgrade")&gt;0,1,0)</f>
        <v>0</v>
      </c>
      <c r="Q166" s="3">
        <f>IF(COUNTIFS(rating_events!$B$2:$B$13,C166,rating_events!$D$2:$D$13,"rating_downgrade")&gt;0,1,0)</f>
        <v>0</v>
      </c>
      <c r="R166" s="3">
        <f>IF(COUNTIFS(rating_events!$B$2:$B$13,C166,rating_events!$D$2:$D$13,"outlook_improvement")&gt;0,1,0)</f>
        <v>0</v>
      </c>
      <c r="S166" s="3">
        <f>IF(COUNTIFS(rating_events!$B$2:$B$13,C166,rating_events!$D$2:$D$13,"outlook_deterioration")&gt;0,1,0)</f>
        <v>0</v>
      </c>
      <c r="T166" s="5"/>
      <c r="U166" s="5"/>
      <c r="V166" s="3">
        <v>1</v>
      </c>
      <c r="W166" s="3">
        <v>1</v>
      </c>
      <c r="X166" s="3">
        <f t="shared" si="33"/>
        <v>0</v>
      </c>
      <c r="Y166" s="3">
        <f t="shared" si="2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2" width="8" customWidth="1"/>
    <col min="3" max="3" width="25" customWidth="1"/>
    <col min="4" max="4" width="23" customWidth="1"/>
    <col min="5" max="5" width="24" customWidth="1"/>
    <col min="6" max="6" width="48" customWidth="1"/>
    <col min="7" max="7" width="25" customWidth="1"/>
    <col min="8" max="8" width="24" customWidth="1"/>
  </cols>
  <sheetData>
    <row r="1" spans="1:8" ht="18" customHeight="1">
      <c r="A1" s="2" t="s">
        <v>0</v>
      </c>
      <c r="B1" s="2" t="s">
        <v>1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</row>
    <row r="2" spans="1:8" ht="18" customHeight="1">
      <c r="A2" s="3">
        <v>2013</v>
      </c>
      <c r="B2" s="3">
        <v>1</v>
      </c>
      <c r="C2" s="5">
        <v>5.6954680609999997</v>
      </c>
      <c r="D2" s="5">
        <v>1.9700842400000003</v>
      </c>
      <c r="E2" s="5">
        <v>0</v>
      </c>
      <c r="F2" s="1" t="s">
        <v>31</v>
      </c>
      <c r="G2" s="1" t="s">
        <v>32</v>
      </c>
      <c r="H2" s="3">
        <v>69</v>
      </c>
    </row>
    <row r="3" spans="1:8" ht="18" customHeight="1">
      <c r="A3" s="3">
        <v>2013</v>
      </c>
      <c r="B3" s="3">
        <v>2</v>
      </c>
      <c r="C3" s="5">
        <v>11.242296051000002</v>
      </c>
      <c r="D3" s="5">
        <v>7.1602961799999996</v>
      </c>
      <c r="E3" s="5">
        <v>0</v>
      </c>
      <c r="F3" s="1" t="s">
        <v>31</v>
      </c>
      <c r="G3" s="1" t="s">
        <v>32</v>
      </c>
      <c r="H3" s="3">
        <v>70</v>
      </c>
    </row>
    <row r="4" spans="1:8" ht="18" customHeight="1">
      <c r="A4" s="3">
        <v>2013</v>
      </c>
      <c r="B4" s="3">
        <v>3</v>
      </c>
      <c r="C4" s="5">
        <v>1.8279822749999992</v>
      </c>
      <c r="D4" s="5">
        <v>-1.28994327</v>
      </c>
      <c r="E4" s="5">
        <v>0</v>
      </c>
      <c r="F4" s="1" t="s">
        <v>31</v>
      </c>
      <c r="G4" s="1" t="s">
        <v>32</v>
      </c>
      <c r="H4" s="3">
        <v>71</v>
      </c>
    </row>
    <row r="5" spans="1:8" ht="18" customHeight="1">
      <c r="A5" s="3">
        <v>2013</v>
      </c>
      <c r="B5" s="3">
        <v>4</v>
      </c>
      <c r="C5" s="5">
        <v>0.722067036</v>
      </c>
      <c r="D5" s="5">
        <v>15.740046209999999</v>
      </c>
      <c r="E5" s="5">
        <v>0</v>
      </c>
      <c r="F5" s="1" t="s">
        <v>31</v>
      </c>
      <c r="G5" s="1" t="s">
        <v>32</v>
      </c>
      <c r="H5" s="3">
        <v>72</v>
      </c>
    </row>
    <row r="6" spans="1:8" ht="18" customHeight="1">
      <c r="A6" s="3">
        <v>2013</v>
      </c>
      <c r="B6" s="3">
        <v>5</v>
      </c>
      <c r="C6" s="5">
        <v>-0.35588171600000029</v>
      </c>
      <c r="D6" s="5">
        <v>3.9500305400000002</v>
      </c>
      <c r="E6" s="5">
        <v>0</v>
      </c>
      <c r="F6" s="1" t="s">
        <v>31</v>
      </c>
      <c r="G6" s="1" t="s">
        <v>32</v>
      </c>
      <c r="H6" s="3">
        <v>73</v>
      </c>
    </row>
    <row r="7" spans="1:8" ht="18" customHeight="1">
      <c r="A7" s="3">
        <v>2013</v>
      </c>
      <c r="B7" s="3">
        <v>6</v>
      </c>
      <c r="C7" s="5">
        <v>-20.13209775</v>
      </c>
      <c r="D7" s="5">
        <v>-19.260207719999997</v>
      </c>
      <c r="E7" s="5">
        <v>0</v>
      </c>
      <c r="F7" s="1" t="s">
        <v>31</v>
      </c>
      <c r="G7" s="1" t="s">
        <v>32</v>
      </c>
      <c r="H7" s="3">
        <v>74</v>
      </c>
    </row>
    <row r="8" spans="1:8" ht="18" customHeight="1">
      <c r="A8" s="3">
        <v>2013</v>
      </c>
      <c r="B8" s="3">
        <v>7</v>
      </c>
      <c r="C8" s="5">
        <v>-2.4802534319999987</v>
      </c>
      <c r="D8" s="5">
        <v>2.8100575000000001</v>
      </c>
      <c r="E8" s="5">
        <v>0</v>
      </c>
      <c r="F8" s="1" t="s">
        <v>31</v>
      </c>
      <c r="G8" s="1" t="s">
        <v>32</v>
      </c>
      <c r="H8" s="3">
        <v>75</v>
      </c>
    </row>
    <row r="9" spans="1:8" ht="18" customHeight="1">
      <c r="A9" s="3">
        <v>2013</v>
      </c>
      <c r="B9" s="3">
        <v>8</v>
      </c>
      <c r="C9" s="5">
        <v>-5.6951951600000008</v>
      </c>
      <c r="D9" s="5">
        <v>-2.1401475199999997</v>
      </c>
      <c r="E9" s="5">
        <v>0</v>
      </c>
      <c r="F9" s="1" t="s">
        <v>31</v>
      </c>
      <c r="G9" s="1" t="s">
        <v>32</v>
      </c>
      <c r="H9" s="3">
        <v>76</v>
      </c>
    </row>
    <row r="10" spans="1:8" ht="18" customHeight="1">
      <c r="A10" s="3">
        <v>2013</v>
      </c>
      <c r="B10" s="3">
        <v>9</v>
      </c>
      <c r="C10" s="5">
        <v>-0.36518129399999932</v>
      </c>
      <c r="D10" s="5">
        <v>10.12998118</v>
      </c>
      <c r="E10" s="5">
        <v>0</v>
      </c>
      <c r="F10" s="1" t="s">
        <v>31</v>
      </c>
      <c r="G10" s="1" t="s">
        <v>32</v>
      </c>
      <c r="H10" s="3">
        <v>77</v>
      </c>
    </row>
    <row r="11" spans="1:8" ht="18" customHeight="1">
      <c r="A11" s="3">
        <v>2013</v>
      </c>
      <c r="B11" s="3">
        <v>10</v>
      </c>
      <c r="C11" s="5">
        <v>-1.9811811970000006</v>
      </c>
      <c r="D11" s="5">
        <v>23.150263580000001</v>
      </c>
      <c r="E11" s="5">
        <v>0</v>
      </c>
      <c r="F11" s="1" t="s">
        <v>31</v>
      </c>
      <c r="G11" s="1" t="s">
        <v>32</v>
      </c>
      <c r="H11" s="3">
        <v>78</v>
      </c>
    </row>
    <row r="12" spans="1:8" ht="18" customHeight="1">
      <c r="A12" s="3">
        <v>2013</v>
      </c>
      <c r="B12" s="3">
        <v>11</v>
      </c>
      <c r="C12" s="5">
        <v>-3.8590595099999989</v>
      </c>
      <c r="D12" s="5">
        <v>6.3698986699999995</v>
      </c>
      <c r="E12" s="5">
        <v>0</v>
      </c>
      <c r="F12" s="1" t="s">
        <v>31</v>
      </c>
      <c r="G12" s="1" t="s">
        <v>32</v>
      </c>
      <c r="H12" s="3">
        <v>79</v>
      </c>
    </row>
    <row r="13" spans="1:8" ht="18" customHeight="1">
      <c r="A13" s="3">
        <v>2013</v>
      </c>
      <c r="B13" s="3">
        <v>12</v>
      </c>
      <c r="C13" s="5">
        <v>-5.2663389709999997</v>
      </c>
      <c r="D13" s="5">
        <v>0.38996862000000032</v>
      </c>
      <c r="E13" s="5">
        <v>0</v>
      </c>
      <c r="F13" s="1" t="s">
        <v>31</v>
      </c>
      <c r="G13" s="1" t="s">
        <v>32</v>
      </c>
      <c r="H13" s="3">
        <v>80</v>
      </c>
    </row>
    <row r="14" spans="1:8" ht="18" customHeight="1">
      <c r="A14" s="3">
        <v>2014</v>
      </c>
      <c r="B14" s="3">
        <v>1</v>
      </c>
      <c r="C14" s="5">
        <v>2.3296938189999996</v>
      </c>
      <c r="D14" s="5">
        <v>3.0298652199999996</v>
      </c>
      <c r="E14" s="5">
        <v>0</v>
      </c>
      <c r="F14" s="1" t="s">
        <v>31</v>
      </c>
      <c r="G14" s="1" t="s">
        <v>32</v>
      </c>
      <c r="H14" s="3">
        <v>81</v>
      </c>
    </row>
    <row r="15" spans="1:8" ht="18" customHeight="1">
      <c r="A15" s="3">
        <v>2014</v>
      </c>
      <c r="B15" s="3">
        <v>2</v>
      </c>
      <c r="C15" s="5">
        <v>7.8167776570000029</v>
      </c>
      <c r="D15" s="5">
        <v>16.28020338</v>
      </c>
      <c r="E15" s="5">
        <v>0</v>
      </c>
      <c r="F15" s="1" t="s">
        <v>31</v>
      </c>
      <c r="G15" s="1" t="s">
        <v>32</v>
      </c>
      <c r="H15" s="3">
        <v>82</v>
      </c>
    </row>
    <row r="16" spans="1:8" ht="18" customHeight="1">
      <c r="A16" s="3">
        <v>2014</v>
      </c>
      <c r="B16" s="3">
        <v>3</v>
      </c>
      <c r="C16" s="5">
        <v>14.476179510000001</v>
      </c>
      <c r="D16" s="5">
        <v>15.580077290000002</v>
      </c>
      <c r="E16" s="5">
        <v>0</v>
      </c>
      <c r="F16" s="1" t="s">
        <v>31</v>
      </c>
      <c r="G16" s="1" t="s">
        <v>32</v>
      </c>
      <c r="H16" s="3">
        <v>83</v>
      </c>
    </row>
    <row r="17" spans="1:8" ht="18" customHeight="1">
      <c r="A17" s="3">
        <v>2014</v>
      </c>
      <c r="B17" s="3">
        <v>4</v>
      </c>
      <c r="C17" s="5">
        <v>8.6719158149999984</v>
      </c>
      <c r="D17" s="5">
        <v>15.610611410000002</v>
      </c>
      <c r="E17" s="5">
        <v>0</v>
      </c>
      <c r="F17" s="1" t="s">
        <v>31</v>
      </c>
      <c r="G17" s="1" t="s">
        <v>32</v>
      </c>
      <c r="H17" s="3">
        <v>84</v>
      </c>
    </row>
    <row r="18" spans="1:8" ht="18" customHeight="1">
      <c r="A18" s="3">
        <v>2014</v>
      </c>
      <c r="B18" s="3">
        <v>5</v>
      </c>
      <c r="C18" s="5">
        <v>8.0893046519999992</v>
      </c>
      <c r="D18" s="5">
        <v>15.040109690000001</v>
      </c>
      <c r="E18" s="5">
        <v>0</v>
      </c>
      <c r="F18" s="1" t="s">
        <v>31</v>
      </c>
      <c r="G18" s="1" t="s">
        <v>32</v>
      </c>
      <c r="H18" s="3">
        <v>85</v>
      </c>
    </row>
    <row r="19" spans="1:8" ht="18" customHeight="1">
      <c r="A19" s="3">
        <v>2014</v>
      </c>
      <c r="B19" s="3">
        <v>6</v>
      </c>
      <c r="C19" s="5">
        <v>2.7381862249999998</v>
      </c>
      <c r="D19" s="5">
        <v>6.43032191</v>
      </c>
      <c r="E19" s="5">
        <v>0</v>
      </c>
      <c r="F19" s="1" t="s">
        <v>31</v>
      </c>
      <c r="G19" s="1" t="s">
        <v>32</v>
      </c>
      <c r="H19" s="3">
        <v>86</v>
      </c>
    </row>
    <row r="20" spans="1:8" ht="18" customHeight="1">
      <c r="A20" s="3">
        <v>2014</v>
      </c>
      <c r="B20" s="3">
        <v>7</v>
      </c>
      <c r="C20" s="5">
        <v>13.070026268000003</v>
      </c>
      <c r="D20" s="5">
        <v>7.8300457000000003</v>
      </c>
      <c r="E20" s="5">
        <v>0</v>
      </c>
      <c r="F20" s="1" t="s">
        <v>31</v>
      </c>
      <c r="G20" s="1" t="s">
        <v>32</v>
      </c>
      <c r="H20" s="3">
        <v>87</v>
      </c>
    </row>
    <row r="21" spans="1:8" ht="18" customHeight="1">
      <c r="A21" s="3">
        <v>2014</v>
      </c>
      <c r="B21" s="3">
        <v>8</v>
      </c>
      <c r="C21" s="5">
        <v>-1.3167799880000004</v>
      </c>
      <c r="D21" s="5">
        <v>16.730328969999999</v>
      </c>
      <c r="E21" s="5">
        <v>0</v>
      </c>
      <c r="F21" s="1" t="s">
        <v>31</v>
      </c>
      <c r="G21" s="1" t="s">
        <v>32</v>
      </c>
      <c r="H21" s="3">
        <v>88</v>
      </c>
    </row>
    <row r="22" spans="1:8" ht="18" customHeight="1">
      <c r="A22" s="3">
        <v>2014</v>
      </c>
      <c r="B22" s="3">
        <v>9</v>
      </c>
      <c r="C22" s="5">
        <v>-7.401979923999999</v>
      </c>
      <c r="D22" s="5">
        <v>13.170546210000001</v>
      </c>
      <c r="E22" s="5">
        <v>0</v>
      </c>
      <c r="F22" s="1" t="s">
        <v>31</v>
      </c>
      <c r="G22" s="1" t="s">
        <v>32</v>
      </c>
      <c r="H22" s="3">
        <v>89</v>
      </c>
    </row>
    <row r="23" spans="1:8" ht="18" customHeight="1">
      <c r="A23" s="3">
        <v>2014</v>
      </c>
      <c r="B23" s="3">
        <v>10</v>
      </c>
      <c r="C23" s="5">
        <v>-3.2025146769999995</v>
      </c>
      <c r="D23" s="5">
        <v>12.490308950000003</v>
      </c>
      <c r="E23" s="5">
        <v>0</v>
      </c>
      <c r="F23" s="1" t="s">
        <v>31</v>
      </c>
      <c r="G23" s="1" t="s">
        <v>32</v>
      </c>
      <c r="H23" s="3">
        <v>90</v>
      </c>
    </row>
    <row r="24" spans="1:8" ht="18" customHeight="1">
      <c r="A24" s="3">
        <v>2014</v>
      </c>
      <c r="B24" s="3">
        <v>11</v>
      </c>
      <c r="C24" s="5">
        <v>5.2810711050000005</v>
      </c>
      <c r="D24" s="5">
        <v>21.340226959999999</v>
      </c>
      <c r="E24" s="5">
        <v>0</v>
      </c>
      <c r="F24" s="1" t="s">
        <v>31</v>
      </c>
      <c r="G24" s="1" t="s">
        <v>32</v>
      </c>
      <c r="H24" s="3">
        <v>91</v>
      </c>
    </row>
    <row r="25" spans="1:8" ht="18" customHeight="1">
      <c r="A25" s="3">
        <v>2014</v>
      </c>
      <c r="B25" s="3">
        <v>12</v>
      </c>
      <c r="C25" s="5">
        <v>-7.953605306</v>
      </c>
      <c r="D25" s="5">
        <v>-20.129990729999999</v>
      </c>
      <c r="E25" s="5">
        <v>0</v>
      </c>
      <c r="F25" s="1" t="s">
        <v>31</v>
      </c>
      <c r="G25" s="1" t="s">
        <v>32</v>
      </c>
      <c r="H25" s="3">
        <v>92</v>
      </c>
    </row>
    <row r="26" spans="1:8" ht="18" customHeight="1">
      <c r="A26" s="3">
        <v>2015</v>
      </c>
      <c r="B26" s="3">
        <v>1</v>
      </c>
      <c r="C26" s="5">
        <v>0.21223021999999941</v>
      </c>
      <c r="D26" s="5">
        <v>38.953724730000005</v>
      </c>
      <c r="E26" s="5">
        <v>0</v>
      </c>
      <c r="F26" s="1" t="s">
        <v>31</v>
      </c>
      <c r="G26" s="1" t="s">
        <v>32</v>
      </c>
      <c r="H26" s="3">
        <v>93</v>
      </c>
    </row>
    <row r="27" spans="1:8" ht="18" customHeight="1">
      <c r="A27" s="3">
        <v>2015</v>
      </c>
      <c r="B27" s="3">
        <v>2</v>
      </c>
      <c r="C27" s="5">
        <v>10.607776598000001</v>
      </c>
      <c r="D27" s="5">
        <v>6.4636442000000001</v>
      </c>
      <c r="E27" s="5">
        <v>0</v>
      </c>
      <c r="F27" s="1" t="s">
        <v>31</v>
      </c>
      <c r="G27" s="1" t="s">
        <v>32</v>
      </c>
      <c r="H27" s="3">
        <v>94</v>
      </c>
    </row>
    <row r="28" spans="1:8" ht="18" customHeight="1">
      <c r="A28" s="3">
        <v>2015</v>
      </c>
      <c r="B28" s="3">
        <v>3</v>
      </c>
      <c r="C28" s="5">
        <v>-5.4264123110000009</v>
      </c>
      <c r="D28" s="5">
        <v>-3.5946422000000005</v>
      </c>
      <c r="E28" s="5">
        <v>0</v>
      </c>
      <c r="F28" s="1" t="s">
        <v>31</v>
      </c>
      <c r="G28" s="1" t="s">
        <v>32</v>
      </c>
      <c r="H28" s="3">
        <v>95</v>
      </c>
    </row>
    <row r="29" spans="1:8" ht="18" customHeight="1">
      <c r="A29" s="3">
        <v>2015</v>
      </c>
      <c r="B29" s="3">
        <v>4</v>
      </c>
      <c r="C29" s="5">
        <v>5.896150815999996</v>
      </c>
      <c r="D29" s="5">
        <v>4.4221628099999997</v>
      </c>
      <c r="E29" s="5">
        <v>0</v>
      </c>
      <c r="F29" s="1" t="s">
        <v>31</v>
      </c>
      <c r="G29" s="1" t="s">
        <v>32</v>
      </c>
      <c r="H29" s="3">
        <v>96</v>
      </c>
    </row>
    <row r="30" spans="1:8" ht="18" customHeight="1">
      <c r="A30" s="3">
        <v>2015</v>
      </c>
      <c r="B30" s="3">
        <v>5</v>
      </c>
      <c r="C30" s="5">
        <v>-3.4603042619999997</v>
      </c>
      <c r="D30" s="5">
        <v>5.0864360899999994</v>
      </c>
      <c r="E30" s="5">
        <v>0</v>
      </c>
      <c r="F30" s="1" t="s">
        <v>31</v>
      </c>
      <c r="G30" s="1" t="s">
        <v>32</v>
      </c>
      <c r="H30" s="3">
        <v>97</v>
      </c>
    </row>
    <row r="31" spans="1:8" ht="18" customHeight="1">
      <c r="A31" s="3">
        <v>2015</v>
      </c>
      <c r="B31" s="3">
        <v>6</v>
      </c>
      <c r="C31" s="5">
        <v>-4.0892047719999987</v>
      </c>
      <c r="D31" s="5">
        <v>21.648517789999996</v>
      </c>
      <c r="E31" s="5">
        <v>0</v>
      </c>
      <c r="F31" s="1" t="s">
        <v>31</v>
      </c>
      <c r="G31" s="1" t="s">
        <v>32</v>
      </c>
      <c r="H31" s="3">
        <v>98</v>
      </c>
    </row>
    <row r="32" spans="1:8" ht="18" customHeight="1">
      <c r="A32" s="3">
        <v>2015</v>
      </c>
      <c r="B32" s="3">
        <v>7</v>
      </c>
      <c r="C32" s="5">
        <v>0.13229194599999988</v>
      </c>
      <c r="D32" s="5">
        <v>-3.8979113399999998</v>
      </c>
      <c r="E32" s="5">
        <v>0</v>
      </c>
      <c r="F32" s="1" t="s">
        <v>31</v>
      </c>
      <c r="G32" s="1" t="s">
        <v>32</v>
      </c>
      <c r="H32" s="3">
        <v>99</v>
      </c>
    </row>
    <row r="33" spans="1:8" ht="18" customHeight="1">
      <c r="A33" s="3">
        <v>2015</v>
      </c>
      <c r="B33" s="3">
        <v>8</v>
      </c>
      <c r="C33" s="5">
        <v>-9.819712599999999</v>
      </c>
      <c r="D33" s="5">
        <v>-7.0129627699999988</v>
      </c>
      <c r="E33" s="5">
        <v>0</v>
      </c>
      <c r="F33" s="1" t="s">
        <v>31</v>
      </c>
      <c r="G33" s="1" t="s">
        <v>32</v>
      </c>
      <c r="H33" s="3">
        <v>100</v>
      </c>
    </row>
    <row r="34" spans="1:8" ht="18" customHeight="1">
      <c r="A34" s="3">
        <v>2015</v>
      </c>
      <c r="B34" s="3">
        <v>9</v>
      </c>
      <c r="C34" s="5">
        <v>-7.1832354460000003</v>
      </c>
      <c r="D34" s="5">
        <v>-1.3993648800000003</v>
      </c>
      <c r="E34" s="5">
        <v>0</v>
      </c>
      <c r="F34" s="1" t="s">
        <v>31</v>
      </c>
      <c r="G34" s="1" t="s">
        <v>32</v>
      </c>
      <c r="H34" s="3">
        <v>101</v>
      </c>
    </row>
    <row r="35" spans="1:8" ht="18" customHeight="1">
      <c r="A35" s="3">
        <v>2015</v>
      </c>
      <c r="B35" s="3">
        <v>10</v>
      </c>
      <c r="C35" s="5">
        <v>-4.7096950720000006</v>
      </c>
      <c r="D35" s="5">
        <v>6.2383222099999998</v>
      </c>
      <c r="E35" s="5">
        <v>0</v>
      </c>
      <c r="F35" s="1" t="s">
        <v>31</v>
      </c>
      <c r="G35" s="1" t="s">
        <v>32</v>
      </c>
      <c r="H35" s="3">
        <v>102</v>
      </c>
    </row>
    <row r="36" spans="1:8" ht="18" customHeight="1">
      <c r="A36" s="3">
        <v>2015</v>
      </c>
      <c r="B36" s="3">
        <v>11</v>
      </c>
      <c r="C36" s="5">
        <v>-3.3348431549999988</v>
      </c>
      <c r="D36" s="5">
        <v>19.753470860000004</v>
      </c>
      <c r="E36" s="5">
        <v>0</v>
      </c>
      <c r="F36" s="1" t="s">
        <v>31</v>
      </c>
      <c r="G36" s="1" t="s">
        <v>32</v>
      </c>
      <c r="H36" s="3">
        <v>103</v>
      </c>
    </row>
    <row r="37" spans="1:8" ht="18" customHeight="1">
      <c r="A37" s="3">
        <v>2015</v>
      </c>
      <c r="B37" s="3">
        <v>12</v>
      </c>
      <c r="C37" s="5">
        <v>-1.4143871660000003</v>
      </c>
      <c r="D37" s="5">
        <v>12.104389060000001</v>
      </c>
      <c r="E37" s="5">
        <v>0</v>
      </c>
      <c r="F37" s="1" t="s">
        <v>31</v>
      </c>
      <c r="G37" s="1" t="s">
        <v>32</v>
      </c>
      <c r="H37" s="3">
        <v>104</v>
      </c>
    </row>
    <row r="38" spans="1:8" ht="18" customHeight="1">
      <c r="A38" s="3">
        <v>2016</v>
      </c>
      <c r="B38" s="3">
        <v>1</v>
      </c>
      <c r="C38" s="5">
        <v>-2.3197446959999994</v>
      </c>
      <c r="D38" s="5">
        <v>19.666699170000001</v>
      </c>
      <c r="E38" s="5">
        <v>0</v>
      </c>
      <c r="F38" s="1" t="s">
        <v>31</v>
      </c>
      <c r="G38" s="1" t="s">
        <v>32</v>
      </c>
      <c r="H38" s="3">
        <v>105</v>
      </c>
    </row>
    <row r="39" spans="1:8" ht="18" customHeight="1">
      <c r="A39" s="3">
        <v>2016</v>
      </c>
      <c r="B39" s="3">
        <v>2</v>
      </c>
      <c r="C39" s="5">
        <v>4.1111259910000006</v>
      </c>
      <c r="D39" s="5">
        <v>8.5315955800000012</v>
      </c>
      <c r="E39" s="5">
        <v>0</v>
      </c>
      <c r="F39" s="1" t="s">
        <v>31</v>
      </c>
      <c r="G39" s="1" t="s">
        <v>32</v>
      </c>
      <c r="H39" s="3">
        <v>106</v>
      </c>
    </row>
    <row r="40" spans="1:8" ht="18" customHeight="1">
      <c r="A40" s="3">
        <v>2016</v>
      </c>
      <c r="B40" s="3">
        <v>3</v>
      </c>
      <c r="C40" s="5">
        <v>2.3152599720000002</v>
      </c>
      <c r="D40" s="5">
        <v>17.530166460000004</v>
      </c>
      <c r="E40" s="5">
        <v>0</v>
      </c>
      <c r="F40" s="1" t="s">
        <v>31</v>
      </c>
      <c r="G40" s="1" t="s">
        <v>32</v>
      </c>
      <c r="H40" s="3">
        <v>107</v>
      </c>
    </row>
    <row r="41" spans="1:8" ht="18" customHeight="1">
      <c r="A41" s="3">
        <v>2016</v>
      </c>
      <c r="B41" s="3">
        <v>4</v>
      </c>
      <c r="C41" s="5">
        <v>0.29079805299999967</v>
      </c>
      <c r="D41" s="5">
        <v>20.086608679999998</v>
      </c>
      <c r="E41" s="5">
        <v>0</v>
      </c>
      <c r="F41" s="1" t="s">
        <v>31</v>
      </c>
      <c r="G41" s="1" t="s">
        <v>32</v>
      </c>
      <c r="H41" s="3">
        <v>108</v>
      </c>
    </row>
    <row r="42" spans="1:8" ht="18" customHeight="1">
      <c r="A42" s="3">
        <v>2016</v>
      </c>
      <c r="B42" s="3">
        <v>5</v>
      </c>
      <c r="C42" s="5">
        <v>-0.18489141400000031</v>
      </c>
      <c r="D42" s="5">
        <v>-5.8594963299999989</v>
      </c>
      <c r="E42" s="5">
        <v>0</v>
      </c>
      <c r="F42" s="1" t="s">
        <v>31</v>
      </c>
      <c r="G42" s="1" t="s">
        <v>32</v>
      </c>
      <c r="H42" s="3">
        <v>109</v>
      </c>
    </row>
    <row r="43" spans="1:8" ht="18" customHeight="1">
      <c r="A43" s="3">
        <v>2016</v>
      </c>
      <c r="B43" s="3">
        <v>6</v>
      </c>
      <c r="C43" s="5">
        <v>8.8089156989999999</v>
      </c>
      <c r="D43" s="5">
        <v>22.026122760000003</v>
      </c>
      <c r="E43" s="5">
        <v>0</v>
      </c>
      <c r="F43" s="1" t="s">
        <v>31</v>
      </c>
      <c r="G43" s="1" t="s">
        <v>32</v>
      </c>
      <c r="H43" s="3">
        <v>110</v>
      </c>
    </row>
    <row r="44" spans="1:8" ht="18" customHeight="1">
      <c r="A44" s="3">
        <v>2016</v>
      </c>
      <c r="B44" s="3">
        <v>7</v>
      </c>
      <c r="C44" s="5">
        <v>11.855621043999999</v>
      </c>
      <c r="D44" s="5">
        <v>15.100801510000002</v>
      </c>
      <c r="E44" s="5">
        <v>0</v>
      </c>
      <c r="F44" s="1" t="s">
        <v>31</v>
      </c>
      <c r="G44" s="1" t="s">
        <v>32</v>
      </c>
      <c r="H44" s="3">
        <v>111</v>
      </c>
    </row>
    <row r="45" spans="1:8" ht="18" customHeight="1">
      <c r="A45" s="3">
        <v>2016</v>
      </c>
      <c r="B45" s="3">
        <v>8</v>
      </c>
      <c r="C45" s="5">
        <v>12.866189919000002</v>
      </c>
      <c r="D45" s="5">
        <v>7.9060877799999982</v>
      </c>
      <c r="E45" s="5">
        <v>0</v>
      </c>
      <c r="F45" s="1" t="s">
        <v>31</v>
      </c>
      <c r="G45" s="1" t="s">
        <v>32</v>
      </c>
      <c r="H45" s="3">
        <v>112</v>
      </c>
    </row>
    <row r="46" spans="1:8" ht="18" customHeight="1">
      <c r="A46" s="3">
        <v>2016</v>
      </c>
      <c r="B46" s="3">
        <v>9</v>
      </c>
      <c r="C46" s="5">
        <v>-3.2885912540000009</v>
      </c>
      <c r="D46" s="5">
        <v>15.58500227</v>
      </c>
      <c r="E46" s="5">
        <v>0</v>
      </c>
      <c r="F46" s="1" t="s">
        <v>31</v>
      </c>
      <c r="G46" s="1" t="s">
        <v>32</v>
      </c>
      <c r="H46" s="3">
        <v>113</v>
      </c>
    </row>
    <row r="47" spans="1:8" ht="18" customHeight="1">
      <c r="A47" s="3">
        <v>2016</v>
      </c>
      <c r="B47" s="3">
        <v>10</v>
      </c>
      <c r="C47" s="5">
        <v>-2.2847564519999999</v>
      </c>
      <c r="D47" s="5">
        <v>-9.3466388400000007</v>
      </c>
      <c r="E47" s="5">
        <v>0</v>
      </c>
      <c r="F47" s="1" t="s">
        <v>31</v>
      </c>
      <c r="G47" s="1" t="s">
        <v>32</v>
      </c>
      <c r="H47" s="3">
        <v>114</v>
      </c>
    </row>
    <row r="48" spans="1:8" ht="18" customHeight="1">
      <c r="A48" s="3">
        <v>2016</v>
      </c>
      <c r="B48" s="3">
        <v>11</v>
      </c>
      <c r="C48" s="5">
        <v>-12.361027350000001</v>
      </c>
      <c r="D48" s="5">
        <v>-19.577819109999997</v>
      </c>
      <c r="E48" s="5">
        <v>0</v>
      </c>
      <c r="F48" s="1" t="s">
        <v>31</v>
      </c>
      <c r="G48" s="1" t="s">
        <v>32</v>
      </c>
      <c r="H48" s="3">
        <v>115</v>
      </c>
    </row>
    <row r="49" spans="1:8" ht="18" customHeight="1">
      <c r="A49" s="3">
        <v>2016</v>
      </c>
      <c r="B49" s="3">
        <v>12</v>
      </c>
      <c r="C49" s="5">
        <v>-3.6394961970000002</v>
      </c>
      <c r="D49" s="5">
        <v>10.047339409999999</v>
      </c>
      <c r="E49" s="5">
        <v>0</v>
      </c>
      <c r="F49" s="1" t="s">
        <v>31</v>
      </c>
      <c r="G49" s="1" t="s">
        <v>32</v>
      </c>
      <c r="H49" s="3">
        <v>116</v>
      </c>
    </row>
    <row r="50" spans="1:8" ht="18" customHeight="1">
      <c r="A50" s="3">
        <v>2017</v>
      </c>
      <c r="B50" s="3">
        <v>1</v>
      </c>
      <c r="C50" s="5">
        <v>-0.96679179999999998</v>
      </c>
      <c r="D50" s="5">
        <v>19.900332669999997</v>
      </c>
      <c r="E50" s="5">
        <v>0</v>
      </c>
      <c r="F50" s="1" t="s">
        <v>31</v>
      </c>
      <c r="G50" s="1" t="s">
        <v>32</v>
      </c>
      <c r="H50" s="3">
        <v>117</v>
      </c>
    </row>
    <row r="51" spans="1:8" ht="18" customHeight="1">
      <c r="A51" s="3">
        <v>2017</v>
      </c>
      <c r="B51" s="3">
        <v>2</v>
      </c>
      <c r="C51" s="5">
        <v>-0.80510576699999992</v>
      </c>
      <c r="D51" s="5">
        <v>6.3902634299999992</v>
      </c>
      <c r="E51" s="5">
        <v>0</v>
      </c>
      <c r="F51" s="1" t="s">
        <v>31</v>
      </c>
      <c r="G51" s="1" t="s">
        <v>32</v>
      </c>
      <c r="H51" s="3">
        <v>118</v>
      </c>
    </row>
    <row r="52" spans="1:8" ht="18" customHeight="1">
      <c r="A52" s="3">
        <v>2017</v>
      </c>
      <c r="B52" s="3">
        <v>3</v>
      </c>
      <c r="C52" s="5">
        <v>10.119188868000002</v>
      </c>
      <c r="D52" s="5">
        <v>31.081185159999997</v>
      </c>
      <c r="E52" s="5">
        <v>0</v>
      </c>
      <c r="F52" s="1" t="s">
        <v>31</v>
      </c>
      <c r="G52" s="1" t="s">
        <v>32</v>
      </c>
      <c r="H52" s="3">
        <v>119</v>
      </c>
    </row>
    <row r="53" spans="1:8" ht="18" customHeight="1">
      <c r="A53" s="3">
        <v>2017</v>
      </c>
      <c r="B53" s="3">
        <v>4</v>
      </c>
      <c r="C53" s="5">
        <v>13.969442075</v>
      </c>
      <c r="D53" s="5">
        <v>23.520864189999998</v>
      </c>
      <c r="E53" s="5">
        <v>0</v>
      </c>
      <c r="F53" s="1" t="s">
        <v>31</v>
      </c>
      <c r="G53" s="1" t="s">
        <v>32</v>
      </c>
      <c r="H53" s="3">
        <v>120</v>
      </c>
    </row>
    <row r="54" spans="1:8" ht="18" customHeight="1">
      <c r="A54" s="3">
        <v>2017</v>
      </c>
      <c r="B54" s="3">
        <v>5</v>
      </c>
      <c r="C54" s="5">
        <v>-0.62436406399999911</v>
      </c>
      <c r="D54" s="5">
        <v>8.4799114699999993</v>
      </c>
      <c r="E54" s="5">
        <v>0</v>
      </c>
      <c r="F54" s="1" t="s">
        <v>31</v>
      </c>
      <c r="G54" s="1" t="s">
        <v>32</v>
      </c>
      <c r="H54" s="3">
        <v>121</v>
      </c>
    </row>
    <row r="55" spans="1:8" ht="18" customHeight="1">
      <c r="A55" s="3">
        <v>2017</v>
      </c>
      <c r="B55" s="3">
        <v>6</v>
      </c>
      <c r="C55" s="5">
        <v>-4.3198622019999995</v>
      </c>
      <c r="D55" s="5">
        <v>16.23006487</v>
      </c>
      <c r="E55" s="5">
        <v>0</v>
      </c>
      <c r="F55" s="1" t="s">
        <v>31</v>
      </c>
      <c r="G55" s="1" t="s">
        <v>32</v>
      </c>
      <c r="H55" s="3">
        <v>122</v>
      </c>
    </row>
    <row r="56" spans="1:8" ht="18" customHeight="1">
      <c r="A56" s="3">
        <v>2017</v>
      </c>
      <c r="B56" s="3">
        <v>7</v>
      </c>
      <c r="C56" s="5">
        <v>-10.639894314000001</v>
      </c>
      <c r="D56" s="5">
        <v>4.9897216399999973</v>
      </c>
      <c r="E56" s="5">
        <v>0</v>
      </c>
      <c r="F56" s="1" t="s">
        <v>31</v>
      </c>
      <c r="G56" s="1" t="s">
        <v>32</v>
      </c>
      <c r="H56" s="3">
        <v>123</v>
      </c>
    </row>
    <row r="57" spans="1:8" ht="18" customHeight="1">
      <c r="A57" s="3">
        <v>2017</v>
      </c>
      <c r="B57" s="3">
        <v>8</v>
      </c>
      <c r="C57" s="5">
        <v>-6.2474010010000001</v>
      </c>
      <c r="D57" s="5">
        <v>8.700466429999997</v>
      </c>
      <c r="E57" s="5">
        <v>0</v>
      </c>
      <c r="F57" s="1" t="s">
        <v>31</v>
      </c>
      <c r="G57" s="1" t="s">
        <v>32</v>
      </c>
      <c r="H57" s="3">
        <v>124</v>
      </c>
    </row>
    <row r="58" spans="1:8" ht="18" customHeight="1">
      <c r="A58" s="3">
        <v>2017</v>
      </c>
      <c r="B58" s="3">
        <v>9</v>
      </c>
      <c r="C58" s="5">
        <v>-11.219130132</v>
      </c>
      <c r="D58" s="5">
        <v>28.990786390000011</v>
      </c>
      <c r="E58" s="5">
        <v>0</v>
      </c>
      <c r="F58" s="1" t="s">
        <v>31</v>
      </c>
      <c r="G58" s="1" t="s">
        <v>32</v>
      </c>
      <c r="H58" s="3">
        <v>125</v>
      </c>
    </row>
    <row r="59" spans="1:8" ht="18" customHeight="1">
      <c r="A59" s="3">
        <v>2017</v>
      </c>
      <c r="B59" s="3">
        <v>10</v>
      </c>
      <c r="C59" s="5">
        <v>-6.2006991349999989</v>
      </c>
      <c r="D59" s="5">
        <v>-23.170540970000001</v>
      </c>
      <c r="E59" s="5">
        <v>0</v>
      </c>
      <c r="F59" s="1" t="s">
        <v>31</v>
      </c>
      <c r="G59" s="1" t="s">
        <v>32</v>
      </c>
      <c r="H59" s="3">
        <v>126</v>
      </c>
    </row>
    <row r="60" spans="1:8" ht="18" customHeight="1">
      <c r="A60" s="3">
        <v>2017</v>
      </c>
      <c r="B60" s="3">
        <v>11</v>
      </c>
      <c r="C60" s="5">
        <v>-18.616462163999998</v>
      </c>
      <c r="D60" s="5">
        <v>34.610999649999997</v>
      </c>
      <c r="E60" s="5">
        <v>0</v>
      </c>
      <c r="F60" s="1" t="s">
        <v>31</v>
      </c>
      <c r="G60" s="1" t="s">
        <v>32</v>
      </c>
      <c r="H60" s="3">
        <v>127</v>
      </c>
    </row>
    <row r="61" spans="1:8" ht="18" customHeight="1">
      <c r="A61" s="3">
        <v>2017</v>
      </c>
      <c r="B61" s="3">
        <v>12</v>
      </c>
      <c r="C61" s="5">
        <v>-4.3181392140000003</v>
      </c>
      <c r="D61" s="5">
        <v>0.80001900999999997</v>
      </c>
      <c r="E61" s="5">
        <v>0</v>
      </c>
      <c r="F61" s="1" t="s">
        <v>31</v>
      </c>
      <c r="G61" s="1" t="s">
        <v>32</v>
      </c>
      <c r="H61" s="3">
        <v>128</v>
      </c>
    </row>
    <row r="62" spans="1:8" ht="18" customHeight="1">
      <c r="A62" s="3">
        <v>2018</v>
      </c>
      <c r="B62" s="3">
        <v>1</v>
      </c>
      <c r="C62" s="5">
        <v>1.7691236480000003</v>
      </c>
      <c r="D62" s="5">
        <v>32.74154317</v>
      </c>
      <c r="E62" s="5">
        <v>0</v>
      </c>
      <c r="F62" s="1" t="s">
        <v>31</v>
      </c>
      <c r="G62" s="1" t="s">
        <v>32</v>
      </c>
      <c r="H62" s="3">
        <v>129</v>
      </c>
    </row>
    <row r="63" spans="1:8" ht="18" customHeight="1">
      <c r="A63" s="3">
        <v>2018</v>
      </c>
      <c r="B63" s="3">
        <v>2</v>
      </c>
      <c r="C63" s="5">
        <v>-10.338173960999999</v>
      </c>
      <c r="D63" s="5">
        <v>-20.925694370000002</v>
      </c>
      <c r="E63" s="5">
        <v>0</v>
      </c>
      <c r="F63" s="1" t="s">
        <v>31</v>
      </c>
      <c r="G63" s="1" t="s">
        <v>32</v>
      </c>
      <c r="H63" s="3">
        <v>130</v>
      </c>
    </row>
    <row r="64" spans="1:8" ht="18" customHeight="1">
      <c r="A64" s="3">
        <v>2018</v>
      </c>
      <c r="B64" s="3">
        <v>3</v>
      </c>
      <c r="C64" s="5">
        <v>-14.925310106999998</v>
      </c>
      <c r="D64" s="5">
        <v>10.563566650000006</v>
      </c>
      <c r="E64" s="5">
        <v>0</v>
      </c>
      <c r="F64" s="1" t="s">
        <v>31</v>
      </c>
      <c r="G64" s="1" t="s">
        <v>32</v>
      </c>
      <c r="H64" s="3">
        <v>131</v>
      </c>
    </row>
    <row r="65" spans="1:8" ht="18" customHeight="1">
      <c r="A65" s="3">
        <v>2018</v>
      </c>
      <c r="B65" s="3">
        <v>4</v>
      </c>
      <c r="C65" s="5">
        <v>-10.387089049999998</v>
      </c>
      <c r="D65" s="5">
        <v>-16.008562340000001</v>
      </c>
      <c r="E65" s="5">
        <v>0</v>
      </c>
      <c r="F65" s="1" t="s">
        <v>31</v>
      </c>
      <c r="G65" s="1" t="s">
        <v>32</v>
      </c>
      <c r="H65" s="3">
        <v>132</v>
      </c>
    </row>
    <row r="66" spans="1:8" ht="18" customHeight="1">
      <c r="A66" s="3">
        <v>2018</v>
      </c>
      <c r="B66" s="3">
        <v>5</v>
      </c>
      <c r="C66" s="5">
        <v>-6.4457558630000023</v>
      </c>
      <c r="D66" s="5">
        <v>-11.41115125</v>
      </c>
      <c r="E66" s="5">
        <v>0</v>
      </c>
      <c r="F66" s="1" t="s">
        <v>31</v>
      </c>
      <c r="G66" s="1" t="s">
        <v>32</v>
      </c>
      <c r="H66" s="3">
        <v>133</v>
      </c>
    </row>
    <row r="67" spans="1:8" ht="18" customHeight="1">
      <c r="A67" s="3">
        <v>2018</v>
      </c>
      <c r="B67" s="3">
        <v>6</v>
      </c>
      <c r="C67" s="5">
        <v>-9.1004030369999995</v>
      </c>
      <c r="D67" s="5">
        <v>-4.5919080799999996</v>
      </c>
      <c r="E67" s="5">
        <v>0</v>
      </c>
      <c r="F67" s="1" t="s">
        <v>31</v>
      </c>
      <c r="G67" s="1" t="s">
        <v>32</v>
      </c>
      <c r="H67" s="3">
        <v>134</v>
      </c>
    </row>
    <row r="68" spans="1:8" ht="18" customHeight="1">
      <c r="A68" s="3">
        <v>2018</v>
      </c>
      <c r="B68" s="3">
        <v>7</v>
      </c>
      <c r="C68" s="5">
        <v>0.79000239100000014</v>
      </c>
      <c r="D68" s="5">
        <v>9.0956738500000007</v>
      </c>
      <c r="E68" s="5">
        <v>0</v>
      </c>
      <c r="F68" s="1" t="s">
        <v>31</v>
      </c>
      <c r="G68" s="1" t="s">
        <v>32</v>
      </c>
      <c r="H68" s="3">
        <v>135</v>
      </c>
    </row>
    <row r="69" spans="1:8" ht="18" customHeight="1">
      <c r="A69" s="3">
        <v>2018</v>
      </c>
      <c r="B69" s="3">
        <v>8</v>
      </c>
      <c r="C69" s="5">
        <v>-1.5510046009999994</v>
      </c>
      <c r="D69" s="5">
        <v>14.752864219999998</v>
      </c>
      <c r="E69" s="5">
        <v>0</v>
      </c>
      <c r="F69" s="1" t="s">
        <v>31</v>
      </c>
      <c r="G69" s="1" t="s">
        <v>32</v>
      </c>
      <c r="H69" s="3">
        <v>136</v>
      </c>
    </row>
    <row r="70" spans="1:8" ht="18" customHeight="1">
      <c r="A70" s="3">
        <v>2018</v>
      </c>
      <c r="B70" s="3">
        <v>9</v>
      </c>
      <c r="C70" s="5">
        <v>-0.98388647000000096</v>
      </c>
      <c r="D70" s="5">
        <v>-3.2198725000000001</v>
      </c>
      <c r="E70" s="5">
        <v>0</v>
      </c>
      <c r="F70" s="1" t="s">
        <v>31</v>
      </c>
      <c r="G70" s="1" t="s">
        <v>32</v>
      </c>
      <c r="H70" s="3">
        <v>137</v>
      </c>
    </row>
    <row r="71" spans="1:8" ht="18" customHeight="1">
      <c r="A71" s="3">
        <v>2018</v>
      </c>
      <c r="B71" s="3">
        <v>10</v>
      </c>
      <c r="C71" s="5">
        <v>-3.4103807359999996</v>
      </c>
      <c r="D71" s="5">
        <v>13.466136970000001</v>
      </c>
      <c r="E71" s="5">
        <v>0</v>
      </c>
      <c r="F71" s="1" t="s">
        <v>31</v>
      </c>
      <c r="G71" s="1" t="s">
        <v>32</v>
      </c>
      <c r="H71" s="3">
        <v>138</v>
      </c>
    </row>
    <row r="72" spans="1:8" ht="18" customHeight="1">
      <c r="A72" s="3">
        <v>2018</v>
      </c>
      <c r="B72" s="3">
        <v>11</v>
      </c>
      <c r="C72" s="5">
        <v>8.9953758740000005</v>
      </c>
      <c r="D72" s="5">
        <v>32.703621609999999</v>
      </c>
      <c r="E72" s="5">
        <v>0</v>
      </c>
      <c r="F72" s="1" t="s">
        <v>31</v>
      </c>
      <c r="G72" s="1" t="s">
        <v>32</v>
      </c>
      <c r="H72" s="3">
        <v>139</v>
      </c>
    </row>
    <row r="73" spans="1:8" ht="18" customHeight="1">
      <c r="A73" s="3">
        <v>2018</v>
      </c>
      <c r="B73" s="3">
        <v>12</v>
      </c>
      <c r="C73" s="5">
        <v>-5.1585899879999992</v>
      </c>
      <c r="D73" s="5">
        <v>-7.2713276799999997</v>
      </c>
      <c r="E73" s="5">
        <v>0</v>
      </c>
      <c r="F73" s="1" t="s">
        <v>31</v>
      </c>
      <c r="G73" s="1" t="s">
        <v>32</v>
      </c>
      <c r="H73" s="3">
        <v>140</v>
      </c>
    </row>
    <row r="74" spans="1:8" ht="18" customHeight="1">
      <c r="A74" s="3">
        <v>2019</v>
      </c>
      <c r="B74" s="3">
        <v>1</v>
      </c>
      <c r="C74" s="5">
        <v>13.825096203000003</v>
      </c>
      <c r="D74" s="5">
        <v>16.449826949999995</v>
      </c>
      <c r="E74" s="5">
        <v>0</v>
      </c>
      <c r="F74" s="1" t="s">
        <v>31</v>
      </c>
      <c r="G74" s="1" t="s">
        <v>32</v>
      </c>
      <c r="H74" s="3">
        <v>141</v>
      </c>
    </row>
    <row r="75" spans="1:8" ht="18" customHeight="1">
      <c r="A75" s="3">
        <v>2019</v>
      </c>
      <c r="B75" s="3">
        <v>2</v>
      </c>
      <c r="C75" s="5">
        <v>-3.3572864329999996</v>
      </c>
      <c r="D75" s="5">
        <v>28.250093670000002</v>
      </c>
      <c r="E75" s="5">
        <v>0</v>
      </c>
      <c r="F75" s="1" t="s">
        <v>31</v>
      </c>
      <c r="G75" s="1" t="s">
        <v>32</v>
      </c>
      <c r="H75" s="3">
        <v>142</v>
      </c>
    </row>
    <row r="76" spans="1:8" ht="18" customHeight="1">
      <c r="A76" s="3">
        <v>2019</v>
      </c>
      <c r="B76" s="3">
        <v>3</v>
      </c>
      <c r="C76" s="5">
        <v>1.663625300000001</v>
      </c>
      <c r="D76" s="5">
        <v>25.119768319999995</v>
      </c>
      <c r="E76" s="5">
        <v>0</v>
      </c>
      <c r="F76" s="1" t="s">
        <v>31</v>
      </c>
      <c r="G76" s="1" t="s">
        <v>32</v>
      </c>
      <c r="H76" s="3">
        <v>143</v>
      </c>
    </row>
    <row r="77" spans="1:8" ht="18" customHeight="1">
      <c r="A77" s="3">
        <v>2019</v>
      </c>
      <c r="B77" s="3">
        <v>4</v>
      </c>
      <c r="C77" s="5">
        <v>53.109182046000008</v>
      </c>
      <c r="D77" s="5">
        <v>-7.3003692199999968</v>
      </c>
      <c r="E77" s="5">
        <v>0</v>
      </c>
      <c r="F77" s="1" t="s">
        <v>31</v>
      </c>
      <c r="G77" s="1" t="s">
        <v>32</v>
      </c>
      <c r="H77" s="3">
        <v>144</v>
      </c>
    </row>
    <row r="78" spans="1:8" ht="18" customHeight="1">
      <c r="A78" s="3">
        <v>2019</v>
      </c>
      <c r="B78" s="3">
        <v>5</v>
      </c>
      <c r="C78" s="5">
        <v>-7.4034487400000009</v>
      </c>
      <c r="D78" s="5">
        <v>-10.259801970000003</v>
      </c>
      <c r="E78" s="5">
        <v>0</v>
      </c>
      <c r="F78" s="1" t="s">
        <v>31</v>
      </c>
      <c r="G78" s="1" t="s">
        <v>32</v>
      </c>
      <c r="H78" s="3">
        <v>145</v>
      </c>
    </row>
    <row r="79" spans="1:8" ht="18" customHeight="1">
      <c r="A79" s="3">
        <v>2019</v>
      </c>
      <c r="B79" s="3">
        <v>6</v>
      </c>
      <c r="C79" s="5">
        <v>10.959295551</v>
      </c>
      <c r="D79" s="5">
        <v>39.190099520000011</v>
      </c>
      <c r="E79" s="5">
        <v>0</v>
      </c>
      <c r="F79" s="1" t="s">
        <v>31</v>
      </c>
      <c r="G79" s="1" t="s">
        <v>32</v>
      </c>
      <c r="H79" s="3">
        <v>146</v>
      </c>
    </row>
    <row r="80" spans="1:8" ht="18" customHeight="1">
      <c r="A80" s="3">
        <v>2019</v>
      </c>
      <c r="B80" s="3">
        <v>7</v>
      </c>
      <c r="C80" s="5">
        <v>-0.25683274500000008</v>
      </c>
      <c r="D80" s="5">
        <v>24.290551609999998</v>
      </c>
      <c r="E80" s="5">
        <v>0</v>
      </c>
      <c r="F80" s="1" t="s">
        <v>31</v>
      </c>
      <c r="G80" s="1" t="s">
        <v>32</v>
      </c>
      <c r="H80" s="3">
        <v>147</v>
      </c>
    </row>
    <row r="81" spans="1:8" ht="18" customHeight="1">
      <c r="A81" s="3">
        <v>2019</v>
      </c>
      <c r="B81" s="3">
        <v>8</v>
      </c>
      <c r="C81" s="5">
        <v>-9.2919282359999986</v>
      </c>
      <c r="D81" s="5">
        <v>-3.4397749200000005</v>
      </c>
      <c r="E81" s="5">
        <v>0</v>
      </c>
      <c r="F81" s="1" t="s">
        <v>31</v>
      </c>
      <c r="G81" s="1" t="s">
        <v>32</v>
      </c>
      <c r="H81" s="3">
        <v>148</v>
      </c>
    </row>
    <row r="82" spans="1:8" ht="18" customHeight="1">
      <c r="A82" s="3">
        <v>2019</v>
      </c>
      <c r="B82" s="3">
        <v>9</v>
      </c>
      <c r="C82" s="5">
        <v>-7.3157288610000002</v>
      </c>
      <c r="D82" s="5">
        <v>19.790100999999996</v>
      </c>
      <c r="E82" s="5">
        <v>0</v>
      </c>
      <c r="F82" s="1" t="s">
        <v>31</v>
      </c>
      <c r="G82" s="1" t="s">
        <v>32</v>
      </c>
      <c r="H82" s="3">
        <v>149</v>
      </c>
    </row>
    <row r="83" spans="1:8" ht="18" customHeight="1">
      <c r="A83" s="3">
        <v>2019</v>
      </c>
      <c r="B83" s="3">
        <v>10</v>
      </c>
      <c r="C83" s="5">
        <v>-3.7970727420000001</v>
      </c>
      <c r="D83" s="5">
        <v>29.079994170000003</v>
      </c>
      <c r="E83" s="5">
        <v>0</v>
      </c>
      <c r="F83" s="1" t="s">
        <v>31</v>
      </c>
      <c r="G83" s="1" t="s">
        <v>32</v>
      </c>
      <c r="H83" s="3">
        <v>150</v>
      </c>
    </row>
    <row r="84" spans="1:8" ht="18" customHeight="1">
      <c r="A84" s="3">
        <v>2019</v>
      </c>
      <c r="B84" s="3">
        <v>11</v>
      </c>
      <c r="C84" s="5">
        <v>-6.9263409500000011</v>
      </c>
      <c r="D84" s="5">
        <v>9.3305927200000021</v>
      </c>
      <c r="E84" s="5">
        <v>0</v>
      </c>
      <c r="F84" s="1" t="s">
        <v>31</v>
      </c>
      <c r="G84" s="1" t="s">
        <v>32</v>
      </c>
      <c r="H84" s="3">
        <v>151</v>
      </c>
    </row>
    <row r="85" spans="1:8" ht="18" customHeight="1">
      <c r="A85" s="3">
        <v>2019</v>
      </c>
      <c r="B85" s="3">
        <v>12</v>
      </c>
      <c r="C85" s="5">
        <v>4.0862635589999998</v>
      </c>
      <c r="D85" s="5">
        <v>-3.0399958799999993</v>
      </c>
      <c r="E85" s="5">
        <v>0</v>
      </c>
      <c r="F85" s="1" t="s">
        <v>31</v>
      </c>
      <c r="G85" s="1" t="s">
        <v>32</v>
      </c>
      <c r="H85" s="3">
        <v>152</v>
      </c>
    </row>
    <row r="86" spans="1:8" ht="18" customHeight="1">
      <c r="A86" s="3">
        <v>2020</v>
      </c>
      <c r="B86" s="3">
        <v>1</v>
      </c>
      <c r="C86" s="5">
        <v>3.3591260000000345E-2</v>
      </c>
      <c r="D86" s="5">
        <v>13.770593000000005</v>
      </c>
      <c r="E86" s="5">
        <v>0</v>
      </c>
      <c r="F86" s="1" t="s">
        <v>31</v>
      </c>
      <c r="G86" s="1" t="s">
        <v>32</v>
      </c>
      <c r="H86" s="3">
        <v>153</v>
      </c>
    </row>
    <row r="87" spans="1:8" ht="18" customHeight="1">
      <c r="A87" s="3">
        <v>2020</v>
      </c>
      <c r="B87" s="3">
        <v>2</v>
      </c>
      <c r="C87" s="5">
        <v>-4.7570047430000004</v>
      </c>
      <c r="D87" s="5">
        <v>-28.900305199999998</v>
      </c>
      <c r="E87" s="5">
        <v>0</v>
      </c>
      <c r="F87" s="1" t="s">
        <v>31</v>
      </c>
      <c r="G87" s="1" t="s">
        <v>32</v>
      </c>
      <c r="H87" s="3">
        <v>154</v>
      </c>
    </row>
    <row r="88" spans="1:8" ht="18" customHeight="1">
      <c r="A88" s="3">
        <v>2020</v>
      </c>
      <c r="B88" s="3">
        <v>3</v>
      </c>
      <c r="C88" s="5">
        <v>-5.5909612539999998</v>
      </c>
      <c r="D88" s="5">
        <v>-114.42986508000001</v>
      </c>
      <c r="E88" s="5">
        <v>0</v>
      </c>
      <c r="F88" s="1" t="s">
        <v>31</v>
      </c>
      <c r="G88" s="1" t="s">
        <v>32</v>
      </c>
      <c r="H88" s="3">
        <v>155</v>
      </c>
    </row>
    <row r="89" spans="1:8" ht="18" customHeight="1">
      <c r="A89" s="3">
        <v>2020</v>
      </c>
      <c r="B89" s="3">
        <v>4</v>
      </c>
      <c r="C89" s="5">
        <v>-8.8175533709999971</v>
      </c>
      <c r="D89" s="5">
        <v>4.1804488000000006</v>
      </c>
      <c r="E89" s="5">
        <v>0</v>
      </c>
      <c r="F89" s="1" t="s">
        <v>31</v>
      </c>
      <c r="G89" s="1" t="s">
        <v>32</v>
      </c>
      <c r="H89" s="3">
        <v>156</v>
      </c>
    </row>
    <row r="90" spans="1:8" ht="18" customHeight="1">
      <c r="A90" s="3">
        <v>2020</v>
      </c>
      <c r="B90" s="3">
        <v>5</v>
      </c>
      <c r="C90" s="5">
        <v>8.0309392370000019</v>
      </c>
      <c r="D90" s="5">
        <v>8.9706606999999998</v>
      </c>
      <c r="E90" s="5">
        <v>0</v>
      </c>
      <c r="F90" s="1" t="s">
        <v>31</v>
      </c>
      <c r="G90" s="1" t="s">
        <v>32</v>
      </c>
      <c r="H90" s="3">
        <v>157</v>
      </c>
    </row>
    <row r="91" spans="1:8" ht="18" customHeight="1">
      <c r="A91" s="3">
        <v>2020</v>
      </c>
      <c r="B91" s="3">
        <v>6</v>
      </c>
      <c r="C91" s="5">
        <v>-4.5447388140000005</v>
      </c>
      <c r="D91" s="5">
        <v>4.5902068899999975</v>
      </c>
      <c r="E91" s="5">
        <v>0</v>
      </c>
      <c r="F91" s="1" t="s">
        <v>31</v>
      </c>
      <c r="G91" s="1" t="s">
        <v>32</v>
      </c>
      <c r="H91" s="3">
        <v>158</v>
      </c>
    </row>
    <row r="92" spans="1:8" ht="18" customHeight="1">
      <c r="A92" s="3">
        <v>2020</v>
      </c>
      <c r="B92" s="3">
        <v>7</v>
      </c>
      <c r="C92" s="5">
        <v>-3.8517595219999996</v>
      </c>
      <c r="D92" s="5">
        <v>8.7898375000000009</v>
      </c>
      <c r="E92" s="5">
        <v>0</v>
      </c>
      <c r="F92" s="1" t="s">
        <v>31</v>
      </c>
      <c r="G92" s="1" t="s">
        <v>32</v>
      </c>
      <c r="H92" s="3">
        <v>159</v>
      </c>
    </row>
    <row r="93" spans="1:8" ht="18" customHeight="1">
      <c r="A93" s="3">
        <v>2020</v>
      </c>
      <c r="B93" s="3">
        <v>8</v>
      </c>
      <c r="C93" s="5">
        <v>-8.5055480499999998</v>
      </c>
      <c r="D93" s="5">
        <v>-2.15018631</v>
      </c>
      <c r="E93" s="5">
        <v>0</v>
      </c>
      <c r="F93" s="1" t="s">
        <v>31</v>
      </c>
      <c r="G93" s="1" t="s">
        <v>32</v>
      </c>
      <c r="H93" s="3">
        <v>160</v>
      </c>
    </row>
    <row r="94" spans="1:8" ht="18" customHeight="1">
      <c r="A94" s="3">
        <v>2020</v>
      </c>
      <c r="B94" s="3">
        <v>9</v>
      </c>
      <c r="C94" s="5">
        <v>-15.589236339999999</v>
      </c>
      <c r="D94" s="5">
        <v>-8.7901937399999994</v>
      </c>
      <c r="E94" s="5">
        <v>0</v>
      </c>
      <c r="F94" s="1" t="s">
        <v>31</v>
      </c>
      <c r="G94" s="1" t="s">
        <v>32</v>
      </c>
      <c r="H94" s="3">
        <v>161</v>
      </c>
    </row>
    <row r="95" spans="1:8" ht="18" customHeight="1">
      <c r="A95" s="3">
        <v>2020</v>
      </c>
      <c r="B95" s="3">
        <v>10</v>
      </c>
      <c r="C95" s="5">
        <v>-3.7068442890000002</v>
      </c>
      <c r="D95" s="5">
        <v>21.800273970000003</v>
      </c>
      <c r="E95" s="5">
        <v>0</v>
      </c>
      <c r="F95" s="1" t="s">
        <v>31</v>
      </c>
      <c r="G95" s="1" t="s">
        <v>32</v>
      </c>
      <c r="H95" s="3">
        <v>162</v>
      </c>
    </row>
    <row r="96" spans="1:8" ht="18" customHeight="1">
      <c r="A96" s="3">
        <v>2020</v>
      </c>
      <c r="B96" s="3">
        <v>11</v>
      </c>
      <c r="C96" s="5">
        <v>3.4442640620000002</v>
      </c>
      <c r="D96" s="5">
        <v>15.64007707</v>
      </c>
      <c r="E96" s="5">
        <v>0</v>
      </c>
      <c r="F96" s="1" t="s">
        <v>31</v>
      </c>
      <c r="G96" s="1" t="s">
        <v>32</v>
      </c>
      <c r="H96" s="3">
        <v>163</v>
      </c>
    </row>
    <row r="97" spans="1:8" ht="18" customHeight="1">
      <c r="A97" s="3">
        <v>2020</v>
      </c>
      <c r="B97" s="3">
        <v>12</v>
      </c>
      <c r="C97" s="5">
        <v>-3.9581971779999998</v>
      </c>
      <c r="D97" s="5">
        <v>3.7597659500000011</v>
      </c>
      <c r="E97" s="5">
        <v>0</v>
      </c>
      <c r="F97" s="1" t="s">
        <v>31</v>
      </c>
      <c r="G97" s="1" t="s">
        <v>32</v>
      </c>
      <c r="H97" s="3">
        <v>164</v>
      </c>
    </row>
    <row r="98" spans="1:8" ht="18" customHeight="1">
      <c r="A98" s="3">
        <v>2021</v>
      </c>
      <c r="B98" s="3">
        <v>1</v>
      </c>
      <c r="C98" s="5">
        <v>10.941791654000001</v>
      </c>
      <c r="D98" s="5">
        <v>10.839625689999998</v>
      </c>
      <c r="E98" s="5">
        <v>0</v>
      </c>
      <c r="F98" s="1" t="s">
        <v>31</v>
      </c>
      <c r="G98" s="1" t="s">
        <v>32</v>
      </c>
      <c r="H98" s="3">
        <v>165</v>
      </c>
    </row>
    <row r="99" spans="1:8" ht="18" customHeight="1">
      <c r="A99" s="3">
        <v>2021</v>
      </c>
      <c r="B99" s="3">
        <v>2</v>
      </c>
      <c r="C99" s="5">
        <v>3.6247189989999997</v>
      </c>
      <c r="D99" s="5">
        <v>-15.130651839999999</v>
      </c>
      <c r="E99" s="5">
        <v>0</v>
      </c>
      <c r="F99" s="1" t="s">
        <v>31</v>
      </c>
      <c r="G99" s="1" t="s">
        <v>32</v>
      </c>
      <c r="H99" s="3">
        <v>166</v>
      </c>
    </row>
    <row r="100" spans="1:8" ht="18" customHeight="1">
      <c r="A100" s="3">
        <v>2021</v>
      </c>
      <c r="B100" s="3">
        <v>3</v>
      </c>
      <c r="C100" s="5">
        <v>-2.7021315470000005</v>
      </c>
      <c r="D100" s="5">
        <v>-18.020117340000006</v>
      </c>
      <c r="E100" s="5">
        <v>0</v>
      </c>
      <c r="F100" s="1" t="s">
        <v>31</v>
      </c>
      <c r="G100" s="1" t="s">
        <v>32</v>
      </c>
      <c r="H100" s="3">
        <v>167</v>
      </c>
    </row>
    <row r="101" spans="1:8" ht="18" customHeight="1">
      <c r="A101" s="3">
        <v>2021</v>
      </c>
      <c r="B101" s="3">
        <v>4</v>
      </c>
      <c r="C101" s="5">
        <v>-3.5443905889999998</v>
      </c>
      <c r="D101" s="5">
        <v>14.200133750000001</v>
      </c>
      <c r="E101" s="5">
        <v>0</v>
      </c>
      <c r="F101" s="1" t="s">
        <v>31</v>
      </c>
      <c r="G101" s="1" t="s">
        <v>32</v>
      </c>
      <c r="H101" s="3">
        <v>168</v>
      </c>
    </row>
    <row r="102" spans="1:8" ht="18" customHeight="1">
      <c r="A102" s="3">
        <v>2021</v>
      </c>
      <c r="B102" s="3">
        <v>5</v>
      </c>
      <c r="C102" s="5">
        <v>3.5262117719999999</v>
      </c>
      <c r="D102" s="5">
        <v>2.8000878899999999</v>
      </c>
      <c r="E102" s="5">
        <v>0</v>
      </c>
      <c r="F102" s="1" t="s">
        <v>31</v>
      </c>
      <c r="G102" s="1" t="s">
        <v>32</v>
      </c>
      <c r="H102" s="3">
        <v>169</v>
      </c>
    </row>
    <row r="103" spans="1:8" ht="18" customHeight="1">
      <c r="A103" s="3">
        <v>2021</v>
      </c>
      <c r="B103" s="3">
        <v>6</v>
      </c>
      <c r="C103" s="5">
        <v>4.8712169429999994</v>
      </c>
      <c r="D103" s="5">
        <v>18.070532640000003</v>
      </c>
      <c r="E103" s="5">
        <v>0</v>
      </c>
      <c r="F103" s="1" t="s">
        <v>31</v>
      </c>
      <c r="G103" s="1" t="s">
        <v>32</v>
      </c>
      <c r="H103" s="3">
        <v>170</v>
      </c>
    </row>
    <row r="104" spans="1:8" ht="18" customHeight="1">
      <c r="A104" s="3">
        <v>2021</v>
      </c>
      <c r="B104" s="3">
        <v>7</v>
      </c>
      <c r="C104" s="5">
        <v>0.98397574300000001</v>
      </c>
      <c r="D104" s="5">
        <v>-8.3798533499999994</v>
      </c>
      <c r="E104" s="5">
        <v>0</v>
      </c>
      <c r="F104" s="1" t="s">
        <v>31</v>
      </c>
      <c r="G104" s="1" t="s">
        <v>32</v>
      </c>
      <c r="H104" s="3">
        <v>171</v>
      </c>
    </row>
    <row r="105" spans="1:8" ht="18" customHeight="1">
      <c r="A105" s="3">
        <v>2021</v>
      </c>
      <c r="B105" s="3">
        <v>8</v>
      </c>
      <c r="C105" s="5">
        <v>4.4694544979999993</v>
      </c>
      <c r="D105" s="5">
        <v>14.580182959999998</v>
      </c>
      <c r="E105" s="5">
        <v>0</v>
      </c>
      <c r="F105" s="1" t="s">
        <v>31</v>
      </c>
      <c r="G105" s="1" t="s">
        <v>32</v>
      </c>
      <c r="H105" s="3">
        <v>172</v>
      </c>
    </row>
    <row r="106" spans="1:8" ht="18" customHeight="1">
      <c r="A106" s="3">
        <v>2021</v>
      </c>
      <c r="B106" s="3">
        <v>9</v>
      </c>
      <c r="C106" s="5">
        <v>4.3398044169999999</v>
      </c>
      <c r="D106" s="5">
        <v>-18.660505369999999</v>
      </c>
      <c r="E106" s="5">
        <v>0</v>
      </c>
      <c r="F106" s="1" t="s">
        <v>31</v>
      </c>
      <c r="G106" s="1" t="s">
        <v>32</v>
      </c>
      <c r="H106" s="3">
        <v>173</v>
      </c>
    </row>
    <row r="107" spans="1:8" ht="18" customHeight="1">
      <c r="A107" s="3">
        <v>2021</v>
      </c>
      <c r="B107" s="3">
        <v>10</v>
      </c>
      <c r="C107" s="5">
        <v>13.081163400000001</v>
      </c>
      <c r="D107" s="5">
        <v>-12.82044853</v>
      </c>
      <c r="E107" s="5">
        <v>0</v>
      </c>
      <c r="F107" s="1" t="s">
        <v>31</v>
      </c>
      <c r="G107" s="1" t="s">
        <v>32</v>
      </c>
      <c r="H107" s="3">
        <v>174</v>
      </c>
    </row>
    <row r="108" spans="1:8" ht="18" customHeight="1">
      <c r="A108" s="3">
        <v>2021</v>
      </c>
      <c r="B108" s="3">
        <v>11</v>
      </c>
      <c r="C108" s="5">
        <v>-3.0520309619999999</v>
      </c>
      <c r="D108" s="5">
        <v>-30.820847399999998</v>
      </c>
      <c r="E108" s="5">
        <v>0</v>
      </c>
      <c r="F108" s="1" t="s">
        <v>31</v>
      </c>
      <c r="G108" s="1" t="s">
        <v>32</v>
      </c>
      <c r="H108" s="3">
        <v>175</v>
      </c>
    </row>
    <row r="109" spans="1:8" ht="18" customHeight="1">
      <c r="A109" s="3">
        <v>2021</v>
      </c>
      <c r="B109" s="3">
        <v>12</v>
      </c>
      <c r="C109" s="5">
        <v>1.4354542519999991</v>
      </c>
      <c r="D109" s="5">
        <v>-27.110348330000001</v>
      </c>
      <c r="E109" s="5">
        <v>0</v>
      </c>
      <c r="F109" s="1" t="s">
        <v>31</v>
      </c>
      <c r="G109" s="1" t="s">
        <v>32</v>
      </c>
      <c r="H109" s="3">
        <v>176</v>
      </c>
    </row>
    <row r="110" spans="1:8" ht="18" customHeight="1">
      <c r="A110" s="3">
        <v>2022</v>
      </c>
      <c r="B110" s="3">
        <v>1</v>
      </c>
      <c r="C110" s="5">
        <v>6.094269425000002</v>
      </c>
      <c r="D110" s="5">
        <v>-4.0603466299999997</v>
      </c>
      <c r="E110" s="5">
        <v>0</v>
      </c>
      <c r="F110" s="1" t="s">
        <v>31</v>
      </c>
      <c r="G110" s="1" t="s">
        <v>32</v>
      </c>
      <c r="H110" s="3">
        <v>177</v>
      </c>
    </row>
    <row r="111" spans="1:8" ht="18" customHeight="1">
      <c r="A111" s="3">
        <v>2022</v>
      </c>
      <c r="B111" s="3">
        <v>2</v>
      </c>
      <c r="C111" s="5">
        <v>17.507842087999997</v>
      </c>
      <c r="D111" s="5">
        <v>6.8300043900000009</v>
      </c>
      <c r="E111" s="5">
        <v>0</v>
      </c>
      <c r="F111" s="1" t="s">
        <v>31</v>
      </c>
      <c r="G111" s="1" t="s">
        <v>32</v>
      </c>
      <c r="H111" s="3">
        <v>178</v>
      </c>
    </row>
    <row r="112" spans="1:8" ht="18" customHeight="1">
      <c r="A112" s="3">
        <v>2022</v>
      </c>
      <c r="B112" s="3">
        <v>3</v>
      </c>
      <c r="C112" s="5">
        <v>8.4470326620000034</v>
      </c>
      <c r="D112" s="5">
        <v>-41.129645459999999</v>
      </c>
      <c r="E112" s="5">
        <v>0</v>
      </c>
      <c r="F112" s="1" t="s">
        <v>31</v>
      </c>
      <c r="G112" s="1" t="s">
        <v>32</v>
      </c>
      <c r="H112" s="3">
        <v>179</v>
      </c>
    </row>
    <row r="113" spans="1:8" ht="18" customHeight="1">
      <c r="A113" s="3">
        <v>2022</v>
      </c>
      <c r="B113" s="3">
        <v>4</v>
      </c>
      <c r="C113" s="5">
        <v>40.116969657999995</v>
      </c>
      <c r="D113" s="5">
        <v>-17.40987573</v>
      </c>
      <c r="E113" s="5">
        <v>0</v>
      </c>
      <c r="F113" s="1" t="s">
        <v>31</v>
      </c>
      <c r="G113" s="1" t="s">
        <v>32</v>
      </c>
      <c r="H113" s="3">
        <v>180</v>
      </c>
    </row>
    <row r="114" spans="1:8" ht="18" customHeight="1">
      <c r="A114" s="3">
        <v>2022</v>
      </c>
      <c r="B114" s="3">
        <v>5</v>
      </c>
      <c r="C114" s="5">
        <v>-3.549848654999999</v>
      </c>
      <c r="D114" s="5">
        <v>-11.749544060000003</v>
      </c>
      <c r="E114" s="5">
        <v>0</v>
      </c>
      <c r="F114" s="1" t="s">
        <v>31</v>
      </c>
      <c r="G114" s="1" t="s">
        <v>32</v>
      </c>
      <c r="H114" s="3">
        <v>181</v>
      </c>
    </row>
    <row r="115" spans="1:8" ht="18" customHeight="1">
      <c r="A115" s="3">
        <v>2022</v>
      </c>
      <c r="B115" s="3">
        <v>6</v>
      </c>
      <c r="C115" s="5">
        <v>-7.4784205709999991</v>
      </c>
      <c r="D115" s="5">
        <v>-16.800207259999997</v>
      </c>
      <c r="E115" s="5">
        <v>0</v>
      </c>
      <c r="F115" s="1" t="s">
        <v>31</v>
      </c>
      <c r="G115" s="1" t="s">
        <v>32</v>
      </c>
      <c r="H115" s="3">
        <v>182</v>
      </c>
    </row>
    <row r="116" spans="1:8" ht="18" customHeight="1">
      <c r="A116" s="3">
        <v>2022</v>
      </c>
      <c r="B116" s="3">
        <v>7</v>
      </c>
      <c r="C116" s="5">
        <v>-2.2505704819999992</v>
      </c>
      <c r="D116" s="5">
        <v>-28.979688899999996</v>
      </c>
      <c r="E116" s="5">
        <v>0</v>
      </c>
      <c r="F116" s="1" t="s">
        <v>31</v>
      </c>
      <c r="G116" s="1" t="s">
        <v>32</v>
      </c>
      <c r="H116" s="3">
        <v>183</v>
      </c>
    </row>
    <row r="117" spans="1:8" ht="18" customHeight="1">
      <c r="A117" s="3">
        <v>2022</v>
      </c>
      <c r="B117" s="3">
        <v>8</v>
      </c>
      <c r="C117" s="5">
        <v>7.5348147500000007</v>
      </c>
      <c r="D117" s="5">
        <v>8.600517969999995</v>
      </c>
      <c r="E117" s="5">
        <v>0</v>
      </c>
      <c r="F117" s="1" t="s">
        <v>31</v>
      </c>
      <c r="G117" s="1" t="s">
        <v>32</v>
      </c>
      <c r="H117" s="3">
        <v>184</v>
      </c>
    </row>
    <row r="118" spans="1:8" ht="18" customHeight="1">
      <c r="A118" s="3">
        <v>2022</v>
      </c>
      <c r="B118" s="3">
        <v>9</v>
      </c>
      <c r="C118" s="5">
        <v>3.0494231830000009</v>
      </c>
      <c r="D118" s="5">
        <v>-29.250238729999996</v>
      </c>
      <c r="E118" s="5">
        <v>0</v>
      </c>
      <c r="F118" s="1" t="s">
        <v>31</v>
      </c>
      <c r="G118" s="1" t="s">
        <v>32</v>
      </c>
      <c r="H118" s="3">
        <v>185</v>
      </c>
    </row>
    <row r="119" spans="1:8" ht="18" customHeight="1">
      <c r="A119" s="3">
        <v>2022</v>
      </c>
      <c r="B119" s="3">
        <v>10</v>
      </c>
      <c r="C119" s="5">
        <v>11.278099034</v>
      </c>
      <c r="D119" s="5">
        <v>-17.030190239999996</v>
      </c>
      <c r="E119" s="5">
        <v>0</v>
      </c>
      <c r="F119" s="1" t="s">
        <v>31</v>
      </c>
      <c r="G119" s="1" t="s">
        <v>32</v>
      </c>
      <c r="H119" s="3">
        <v>186</v>
      </c>
    </row>
    <row r="120" spans="1:8" ht="18" customHeight="1">
      <c r="A120" s="3">
        <v>2022</v>
      </c>
      <c r="B120" s="3">
        <v>11</v>
      </c>
      <c r="C120" s="5">
        <v>0.73527129700000093</v>
      </c>
      <c r="D120" s="5">
        <v>23.699609209999998</v>
      </c>
      <c r="E120" s="5">
        <v>0</v>
      </c>
      <c r="F120" s="1" t="s">
        <v>31</v>
      </c>
      <c r="G120" s="1" t="s">
        <v>32</v>
      </c>
      <c r="H120" s="3">
        <v>187</v>
      </c>
    </row>
    <row r="121" spans="1:8" ht="18" customHeight="1">
      <c r="A121" s="3">
        <v>2022</v>
      </c>
      <c r="B121" s="3">
        <v>12</v>
      </c>
      <c r="C121" s="5">
        <v>-20.909821480000002</v>
      </c>
      <c r="D121" s="5">
        <v>25.260009459999999</v>
      </c>
      <c r="E121" s="5">
        <v>0</v>
      </c>
      <c r="F121" s="1" t="s">
        <v>31</v>
      </c>
      <c r="G121" s="1" t="s">
        <v>32</v>
      </c>
      <c r="H121" s="3">
        <v>188</v>
      </c>
    </row>
    <row r="122" spans="1:8" ht="18" customHeight="1">
      <c r="A122" s="3">
        <v>2023</v>
      </c>
      <c r="B122" s="3">
        <v>1</v>
      </c>
      <c r="C122" s="5">
        <v>-3.2134308029999996</v>
      </c>
      <c r="D122" s="5">
        <v>49.700487780000003</v>
      </c>
      <c r="E122" s="5">
        <v>0</v>
      </c>
      <c r="F122" s="1" t="s">
        <v>31</v>
      </c>
      <c r="G122" s="1" t="s">
        <v>32</v>
      </c>
      <c r="H122" s="3">
        <v>189</v>
      </c>
    </row>
    <row r="123" spans="1:8" ht="18" customHeight="1">
      <c r="A123" s="3">
        <v>2023</v>
      </c>
      <c r="B123" s="3">
        <v>2</v>
      </c>
      <c r="C123" s="5">
        <v>5.7086458429999993</v>
      </c>
      <c r="D123" s="5">
        <v>-7.5696331800000003</v>
      </c>
      <c r="E123" s="5">
        <v>0</v>
      </c>
      <c r="F123" s="1" t="s">
        <v>31</v>
      </c>
      <c r="G123" s="1" t="s">
        <v>32</v>
      </c>
      <c r="H123" s="3">
        <v>190</v>
      </c>
    </row>
    <row r="124" spans="1:8" ht="18" customHeight="1">
      <c r="A124" s="3">
        <v>2023</v>
      </c>
      <c r="B124" s="3">
        <v>3</v>
      </c>
      <c r="C124" s="5">
        <v>4.1232287550000004</v>
      </c>
      <c r="D124" s="5">
        <v>14.29055078</v>
      </c>
      <c r="E124" s="5">
        <v>0</v>
      </c>
      <c r="F124" s="1" t="s">
        <v>31</v>
      </c>
      <c r="G124" s="1" t="s">
        <v>32</v>
      </c>
      <c r="H124" s="3">
        <v>191</v>
      </c>
    </row>
    <row r="125" spans="1:8" ht="18" customHeight="1">
      <c r="A125" s="3">
        <v>2023</v>
      </c>
      <c r="B125" s="3">
        <v>4</v>
      </c>
      <c r="C125" s="5">
        <v>12.294532492000002</v>
      </c>
      <c r="D125" s="5">
        <v>3.7101142800000004</v>
      </c>
      <c r="E125" s="5">
        <v>0</v>
      </c>
      <c r="F125" s="1" t="s">
        <v>31</v>
      </c>
      <c r="G125" s="1" t="s">
        <v>32</v>
      </c>
      <c r="H125" s="3">
        <v>192</v>
      </c>
    </row>
    <row r="126" spans="1:8" ht="18" customHeight="1">
      <c r="A126" s="3">
        <v>2023</v>
      </c>
      <c r="B126" s="3">
        <v>5</v>
      </c>
      <c r="C126" s="5">
        <v>1.6709650110000003</v>
      </c>
      <c r="D126" s="5">
        <v>-0.83996633999999948</v>
      </c>
      <c r="E126" s="5">
        <v>0</v>
      </c>
      <c r="F126" s="1" t="s">
        <v>31</v>
      </c>
      <c r="G126" s="1" t="s">
        <v>32</v>
      </c>
      <c r="H126" s="3">
        <v>193</v>
      </c>
    </row>
    <row r="127" spans="1:8" ht="18" customHeight="1">
      <c r="A127" s="3">
        <v>2023</v>
      </c>
      <c r="B127" s="3">
        <v>6</v>
      </c>
      <c r="C127" s="5">
        <v>-4.3771090639999999</v>
      </c>
      <c r="D127" s="5">
        <v>15.950118099999999</v>
      </c>
      <c r="E127" s="5">
        <v>0</v>
      </c>
      <c r="F127" s="1" t="s">
        <v>31</v>
      </c>
      <c r="G127" s="1" t="s">
        <v>32</v>
      </c>
      <c r="H127" s="3">
        <v>194</v>
      </c>
    </row>
    <row r="128" spans="1:8" ht="18" customHeight="1">
      <c r="A128" s="3">
        <v>2023</v>
      </c>
      <c r="B128" s="3">
        <v>7</v>
      </c>
      <c r="C128" s="5">
        <v>2.715448917999999</v>
      </c>
      <c r="D128" s="5">
        <v>8.7898381700000012</v>
      </c>
      <c r="E128" s="5">
        <v>0</v>
      </c>
      <c r="F128" s="1" t="s">
        <v>31</v>
      </c>
      <c r="G128" s="1" t="s">
        <v>32</v>
      </c>
      <c r="H128" s="3">
        <v>195</v>
      </c>
    </row>
    <row r="129" spans="1:8" ht="18" customHeight="1">
      <c r="A129" s="3">
        <v>2023</v>
      </c>
      <c r="B129" s="3">
        <v>8</v>
      </c>
      <c r="C129" s="5">
        <v>-20.103126926999995</v>
      </c>
      <c r="D129" s="5">
        <v>-8.1701495100000017</v>
      </c>
      <c r="E129" s="5">
        <v>0</v>
      </c>
      <c r="F129" s="1" t="s">
        <v>31</v>
      </c>
      <c r="G129" s="1" t="s">
        <v>32</v>
      </c>
      <c r="H129" s="3">
        <v>196</v>
      </c>
    </row>
    <row r="130" spans="1:8" ht="18" customHeight="1">
      <c r="A130" s="3">
        <v>2023</v>
      </c>
      <c r="B130" s="3">
        <v>9</v>
      </c>
      <c r="C130" s="5">
        <v>-4.0577647919999995</v>
      </c>
      <c r="D130" s="5">
        <v>-16.829841699999999</v>
      </c>
      <c r="E130" s="5">
        <v>4.8760000000000003</v>
      </c>
      <c r="F130" s="1" t="s">
        <v>31</v>
      </c>
      <c r="G130" s="1" t="s">
        <v>33</v>
      </c>
      <c r="H130" s="3">
        <v>197</v>
      </c>
    </row>
    <row r="131" spans="1:8" ht="18" customHeight="1">
      <c r="A131" s="3">
        <v>2023</v>
      </c>
      <c r="B131" s="3">
        <v>10</v>
      </c>
      <c r="C131" s="5">
        <v>-8.1034812019999993</v>
      </c>
      <c r="D131" s="5">
        <v>-12.62035259</v>
      </c>
      <c r="E131" s="5">
        <v>8.9975999999999985</v>
      </c>
      <c r="F131" s="1" t="s">
        <v>31</v>
      </c>
      <c r="G131" s="1" t="s">
        <v>33</v>
      </c>
      <c r="H131" s="3">
        <v>198</v>
      </c>
    </row>
    <row r="132" spans="1:8" ht="18" customHeight="1">
      <c r="A132" s="3">
        <v>2023</v>
      </c>
      <c r="B132" s="3">
        <v>11</v>
      </c>
      <c r="C132" s="5">
        <v>-0.51745564200000005</v>
      </c>
      <c r="D132" s="5">
        <v>23.499838060000002</v>
      </c>
      <c r="E132" s="5">
        <v>23.393131999999998</v>
      </c>
      <c r="F132" s="1" t="s">
        <v>31</v>
      </c>
      <c r="G132" s="1" t="s">
        <v>33</v>
      </c>
      <c r="H132" s="3">
        <v>199</v>
      </c>
    </row>
    <row r="133" spans="1:8" ht="18" customHeight="1">
      <c r="A133" s="3">
        <v>2023</v>
      </c>
      <c r="B133" s="3">
        <v>12</v>
      </c>
      <c r="C133" s="5">
        <v>7.6708021290000001</v>
      </c>
      <c r="D133" s="5">
        <v>7.689951820000001</v>
      </c>
      <c r="E133" s="5">
        <v>24.907400000000003</v>
      </c>
      <c r="F133" s="1" t="s">
        <v>31</v>
      </c>
      <c r="G133" s="1" t="s">
        <v>33</v>
      </c>
      <c r="H133" s="3">
        <v>200</v>
      </c>
    </row>
    <row r="134" spans="1:8" ht="18" customHeight="1">
      <c r="A134" s="3">
        <v>2024</v>
      </c>
      <c r="B134" s="3">
        <v>1</v>
      </c>
      <c r="C134" s="5">
        <v>8.3290975889999999</v>
      </c>
      <c r="D134" s="5">
        <v>-0.92999781000000137</v>
      </c>
      <c r="E134" s="5">
        <v>21.569705999999996</v>
      </c>
      <c r="F134" s="1" t="s">
        <v>31</v>
      </c>
      <c r="G134" s="1" t="s">
        <v>33</v>
      </c>
      <c r="H134" s="3">
        <v>201</v>
      </c>
    </row>
    <row r="135" spans="1:8" ht="18" customHeight="1">
      <c r="A135" s="3">
        <v>2024</v>
      </c>
      <c r="B135" s="3">
        <v>2</v>
      </c>
      <c r="C135" s="5">
        <v>10.109574731999995</v>
      </c>
      <c r="D135" s="5">
        <v>-4.7062938200000008</v>
      </c>
      <c r="E135" s="5">
        <v>3.9425999999999988</v>
      </c>
      <c r="F135" s="1" t="s">
        <v>31</v>
      </c>
      <c r="G135" s="1" t="s">
        <v>33</v>
      </c>
      <c r="H135" s="3">
        <v>202</v>
      </c>
    </row>
    <row r="136" spans="1:8" ht="18" customHeight="1">
      <c r="A136" s="3">
        <v>2024</v>
      </c>
      <c r="B136" s="3">
        <v>3</v>
      </c>
      <c r="C136" s="5">
        <v>7.8374457630000025</v>
      </c>
      <c r="D136" s="5">
        <v>-20.599863679999999</v>
      </c>
      <c r="E136" s="5">
        <v>-5.3374179999999996</v>
      </c>
      <c r="F136" s="1" t="s">
        <v>31</v>
      </c>
      <c r="G136" s="1" t="s">
        <v>33</v>
      </c>
      <c r="H136" s="3">
        <v>203</v>
      </c>
    </row>
    <row r="137" spans="1:8" ht="18" customHeight="1">
      <c r="A137" s="3">
        <v>2024</v>
      </c>
      <c r="B137" s="3">
        <v>4</v>
      </c>
      <c r="C137" s="5">
        <v>-18.326716663000003</v>
      </c>
      <c r="D137" s="5">
        <v>-17.214094980000002</v>
      </c>
      <c r="E137" s="5">
        <v>-7.2025259999999918</v>
      </c>
      <c r="F137" s="1" t="s">
        <v>31</v>
      </c>
      <c r="G137" s="1" t="s">
        <v>33</v>
      </c>
      <c r="H137" s="3">
        <v>204</v>
      </c>
    </row>
    <row r="138" spans="1:8" ht="18" customHeight="1">
      <c r="A138" s="3">
        <v>2024</v>
      </c>
      <c r="B138" s="3">
        <v>5</v>
      </c>
      <c r="C138" s="5">
        <v>-14.199890693999997</v>
      </c>
      <c r="D138" s="5">
        <v>19.232361829999999</v>
      </c>
      <c r="E138" s="5">
        <v>77.032331999999982</v>
      </c>
      <c r="F138" s="1" t="s">
        <v>31</v>
      </c>
      <c r="G138" s="1" t="s">
        <v>33</v>
      </c>
      <c r="H138" s="3">
        <v>205</v>
      </c>
    </row>
    <row r="139" spans="1:8" ht="18" customHeight="1">
      <c r="A139" s="3">
        <v>2024</v>
      </c>
      <c r="B139" s="3">
        <v>6</v>
      </c>
      <c r="C139" s="5">
        <v>-1.4763363030000001</v>
      </c>
      <c r="D139" s="5">
        <v>1.8788682700000003</v>
      </c>
      <c r="E139" s="5">
        <v>40.344552000000022</v>
      </c>
      <c r="F139" s="1" t="s">
        <v>31</v>
      </c>
      <c r="G139" s="1" t="s">
        <v>33</v>
      </c>
      <c r="H139" s="3">
        <v>206</v>
      </c>
    </row>
    <row r="140" spans="1:8" ht="18" customHeight="1">
      <c r="A140" s="3">
        <v>2024</v>
      </c>
      <c r="B140" s="3">
        <v>7</v>
      </c>
      <c r="C140" s="5">
        <v>6.6792423720000009</v>
      </c>
      <c r="D140" s="5">
        <v>4.9709064800000009</v>
      </c>
      <c r="E140" s="5">
        <v>43.464193999999992</v>
      </c>
      <c r="F140" s="1" t="s">
        <v>31</v>
      </c>
      <c r="G140" s="1" t="s">
        <v>33</v>
      </c>
      <c r="H140" s="3">
        <v>207</v>
      </c>
    </row>
    <row r="141" spans="1:8" ht="18" customHeight="1">
      <c r="A141" s="3">
        <v>2024</v>
      </c>
      <c r="B141" s="3">
        <v>8</v>
      </c>
      <c r="C141" s="5">
        <v>28.773047857000002</v>
      </c>
      <c r="D141" s="5">
        <v>39.23917084</v>
      </c>
      <c r="E141" s="5">
        <v>14.588274000000013</v>
      </c>
      <c r="F141" s="1" t="s">
        <v>31</v>
      </c>
      <c r="G141" s="1" t="s">
        <v>33</v>
      </c>
      <c r="H141" s="3">
        <v>208</v>
      </c>
    </row>
    <row r="142" spans="1:8" ht="18" customHeight="1">
      <c r="A142" s="3">
        <v>2024</v>
      </c>
      <c r="B142" s="3">
        <v>9</v>
      </c>
      <c r="C142" s="5">
        <v>21.917940708000007</v>
      </c>
      <c r="D142" s="5">
        <v>20.418270220000007</v>
      </c>
      <c r="E142" s="5">
        <v>3.6483920000000012</v>
      </c>
      <c r="F142" s="1" t="s">
        <v>31</v>
      </c>
      <c r="G142" s="1" t="s">
        <v>33</v>
      </c>
      <c r="H142" s="3">
        <v>209</v>
      </c>
    </row>
    <row r="143" spans="1:8" ht="18" customHeight="1">
      <c r="A143" s="3">
        <v>2024</v>
      </c>
      <c r="B143" s="3">
        <v>10</v>
      </c>
      <c r="C143" s="5">
        <v>-11.273234935</v>
      </c>
      <c r="D143" s="5">
        <v>14.981471650000001</v>
      </c>
      <c r="E143" s="5">
        <v>7.9499829999999747</v>
      </c>
      <c r="F143" s="1" t="s">
        <v>31</v>
      </c>
      <c r="G143" s="1" t="s">
        <v>33</v>
      </c>
      <c r="H143" s="3">
        <v>210</v>
      </c>
    </row>
    <row r="144" spans="1:8" ht="18" customHeight="1">
      <c r="A144" s="3">
        <v>2024</v>
      </c>
      <c r="B144" s="3">
        <v>11</v>
      </c>
      <c r="C144" s="5">
        <v>-16.810706075000002</v>
      </c>
      <c r="D144" s="5">
        <v>-12.71391532</v>
      </c>
      <c r="E144" s="5">
        <v>-18.475794999999977</v>
      </c>
      <c r="F144" s="1" t="s">
        <v>31</v>
      </c>
      <c r="G144" s="1" t="s">
        <v>33</v>
      </c>
      <c r="H144" s="3">
        <v>211</v>
      </c>
    </row>
    <row r="145" spans="1:8" ht="18" customHeight="1">
      <c r="A145" s="3">
        <v>2024</v>
      </c>
      <c r="B145" s="3">
        <v>12</v>
      </c>
      <c r="C145" s="5">
        <v>-5.0300681490000017</v>
      </c>
      <c r="D145" s="5">
        <v>4.6030324400000016</v>
      </c>
      <c r="E145" s="5">
        <v>-19.531298000000021</v>
      </c>
      <c r="F145" s="1" t="s">
        <v>31</v>
      </c>
      <c r="G145" s="1" t="s">
        <v>33</v>
      </c>
      <c r="H145" s="3">
        <v>212</v>
      </c>
    </row>
    <row r="146" spans="1:8" ht="18" customHeight="1">
      <c r="A146" s="3">
        <v>2025</v>
      </c>
      <c r="B146" s="3">
        <v>1</v>
      </c>
      <c r="C146" s="5">
        <v>-3.7088118620000001</v>
      </c>
      <c r="D146" s="5">
        <v>2.0526217100000013</v>
      </c>
      <c r="E146" s="5">
        <v>13.543590000000023</v>
      </c>
      <c r="F146" s="1" t="s">
        <v>31</v>
      </c>
      <c r="G146" s="1" t="s">
        <v>33</v>
      </c>
      <c r="H146" s="3">
        <v>213</v>
      </c>
    </row>
    <row r="147" spans="1:8" ht="18" customHeight="1">
      <c r="A147" s="3">
        <v>2025</v>
      </c>
      <c r="B147" s="3">
        <v>2</v>
      </c>
      <c r="C147" s="5">
        <v>-18.189888629000002</v>
      </c>
      <c r="D147" s="5">
        <v>8.8622654000000018</v>
      </c>
      <c r="E147" s="5">
        <v>-7.5850680000000068</v>
      </c>
      <c r="F147" s="1" t="s">
        <v>31</v>
      </c>
      <c r="G147" s="1" t="s">
        <v>33</v>
      </c>
      <c r="H147" s="3">
        <v>214</v>
      </c>
    </row>
    <row r="148" spans="1:8" ht="18" customHeight="1">
      <c r="A148" s="3">
        <v>2025</v>
      </c>
      <c r="B148" s="3">
        <v>3</v>
      </c>
      <c r="C148" s="5">
        <v>-8.0250173370000031</v>
      </c>
      <c r="D148" s="5">
        <v>1.7178240500000006</v>
      </c>
      <c r="E148" s="5">
        <v>4.0967609999999866</v>
      </c>
      <c r="F148" s="1" t="s">
        <v>31</v>
      </c>
      <c r="G148" s="1" t="s">
        <v>33</v>
      </c>
      <c r="H148" s="3">
        <v>215</v>
      </c>
    </row>
    <row r="149" spans="1:8" ht="18" customHeight="1">
      <c r="A149" s="3">
        <v>2025</v>
      </c>
      <c r="B149" s="3">
        <v>4</v>
      </c>
      <c r="C149" s="5">
        <v>-20.794854652999994</v>
      </c>
      <c r="D149" s="5">
        <v>6.530066849999999</v>
      </c>
      <c r="E149" s="5">
        <v>-22.102734999999996</v>
      </c>
      <c r="F149" s="1" t="s">
        <v>31</v>
      </c>
      <c r="G149" s="1" t="s">
        <v>33</v>
      </c>
      <c r="H149" s="3">
        <v>216</v>
      </c>
    </row>
    <row r="150" spans="1:8" ht="18" customHeight="1">
      <c r="A150" s="3">
        <v>2025</v>
      </c>
      <c r="B150" s="3">
        <v>5</v>
      </c>
      <c r="C150" s="5">
        <v>5.53086915</v>
      </c>
      <c r="D150" s="5">
        <v>29.490184120000002</v>
      </c>
      <c r="E150" s="5">
        <v>1.270025000000004</v>
      </c>
      <c r="F150" s="1" t="s">
        <v>31</v>
      </c>
      <c r="G150" s="1" t="s">
        <v>33</v>
      </c>
      <c r="H150" s="3">
        <v>217</v>
      </c>
    </row>
    <row r="151" spans="1:8" ht="18" customHeight="1">
      <c r="A151" s="3">
        <v>2025</v>
      </c>
      <c r="B151" s="3">
        <v>6</v>
      </c>
      <c r="C151" s="5">
        <v>-8.3820675730000005</v>
      </c>
      <c r="D151" s="5">
        <v>11.66979117</v>
      </c>
      <c r="E151" s="5">
        <v>-23.331593999999996</v>
      </c>
      <c r="F151" s="1" t="s">
        <v>31</v>
      </c>
      <c r="G151" s="1" t="s">
        <v>33</v>
      </c>
      <c r="H151" s="3">
        <v>218</v>
      </c>
    </row>
    <row r="152" spans="1:8" ht="18" customHeight="1">
      <c r="A152" s="3">
        <v>2025</v>
      </c>
      <c r="B152" s="3">
        <v>7</v>
      </c>
      <c r="C152" s="5">
        <v>-8.3382389220000022</v>
      </c>
      <c r="D152" s="5">
        <v>17.03026436</v>
      </c>
      <c r="E152" s="5">
        <v>-43.282888000000014</v>
      </c>
      <c r="F152" s="1" t="s">
        <v>31</v>
      </c>
      <c r="G152" s="1" t="s">
        <v>33</v>
      </c>
      <c r="H152" s="3">
        <v>219</v>
      </c>
    </row>
    <row r="153" spans="1:8" ht="18" customHeight="1">
      <c r="A153" s="3">
        <v>2025</v>
      </c>
      <c r="B153" s="3">
        <v>8</v>
      </c>
      <c r="C153" s="5">
        <v>10.958533289</v>
      </c>
      <c r="D153" s="5">
        <v>17.049646280000001</v>
      </c>
      <c r="E153" s="5">
        <v>-24.253225999999998</v>
      </c>
      <c r="F153" s="1" t="s">
        <v>31</v>
      </c>
      <c r="G153" s="1" t="s">
        <v>33</v>
      </c>
      <c r="H153" s="3">
        <v>220</v>
      </c>
    </row>
    <row r="154" spans="1:8" ht="18" customHeight="1">
      <c r="A154" s="3">
        <v>2025</v>
      </c>
      <c r="B154" s="3">
        <v>9</v>
      </c>
      <c r="C154" s="5">
        <v>-3.7975057129999983</v>
      </c>
      <c r="D154" s="5">
        <v>-41.729787849999994</v>
      </c>
      <c r="E154" s="5">
        <v>-31.699451999999994</v>
      </c>
      <c r="F154" s="1" t="s">
        <v>31</v>
      </c>
      <c r="G154" s="1" t="s">
        <v>33</v>
      </c>
      <c r="H154" s="3">
        <v>221</v>
      </c>
    </row>
    <row r="155" spans="1:8" ht="18" customHeight="1">
      <c r="A155" s="3">
        <v>2025</v>
      </c>
      <c r="B155" s="3">
        <v>10</v>
      </c>
      <c r="C155" s="5">
        <v>12.961475965</v>
      </c>
      <c r="D155" s="5">
        <v>-30.00016772</v>
      </c>
      <c r="E155" s="5">
        <v>-4.0330090000000069</v>
      </c>
      <c r="F155" s="1" t="s">
        <v>31</v>
      </c>
      <c r="G155" s="1" t="s">
        <v>33</v>
      </c>
      <c r="H155" s="3">
        <v>222</v>
      </c>
    </row>
    <row r="156" spans="1:8" ht="18" customHeight="1">
      <c r="A156" s="3">
        <v>2025</v>
      </c>
      <c r="B156" s="3">
        <v>11</v>
      </c>
      <c r="C156" s="5">
        <v>12.204066818000001</v>
      </c>
      <c r="D156" s="5">
        <v>-5.9300109899999986</v>
      </c>
      <c r="E156" s="5">
        <v>-0.13171699999999475</v>
      </c>
      <c r="F156" s="1" t="s">
        <v>31</v>
      </c>
      <c r="G156" s="1" t="s">
        <v>33</v>
      </c>
      <c r="H156" s="3">
        <v>223</v>
      </c>
    </row>
    <row r="157" spans="1:8" ht="18" customHeight="1">
      <c r="A157" s="3">
        <v>2025</v>
      </c>
      <c r="B157" s="3">
        <v>12</v>
      </c>
      <c r="C157" s="5">
        <v>12.239560607000001</v>
      </c>
      <c r="D157" s="5">
        <v>6.4800323199999994</v>
      </c>
      <c r="E157" s="5">
        <v>27.396185000000003</v>
      </c>
      <c r="F157" s="1" t="s">
        <v>31</v>
      </c>
      <c r="G157" s="1" t="s">
        <v>33</v>
      </c>
      <c r="H157" s="3">
        <v>224</v>
      </c>
    </row>
    <row r="158" spans="1:8" ht="18" customHeight="1">
      <c r="A158" s="3">
        <v>2026</v>
      </c>
      <c r="B158" s="3">
        <v>1</v>
      </c>
      <c r="C158" s="5">
        <v>-9.8759667810000007</v>
      </c>
      <c r="D158" s="5">
        <v>0.10099999999999909</v>
      </c>
      <c r="E158" s="5">
        <v>7.8448339999999916</v>
      </c>
      <c r="F158" s="1" t="s">
        <v>34</v>
      </c>
      <c r="G158" s="1" t="s">
        <v>33</v>
      </c>
      <c r="H158" s="3">
        <v>225</v>
      </c>
    </row>
    <row r="159" spans="1:8" ht="18" customHeight="1">
      <c r="A159" s="3">
        <v>2026</v>
      </c>
      <c r="B159" s="3">
        <v>2</v>
      </c>
      <c r="C159" s="5">
        <v>0.36402931899999946</v>
      </c>
      <c r="D159" s="5">
        <v>-3.38799999999992</v>
      </c>
      <c r="E159" s="5">
        <v>28.893466000000018</v>
      </c>
      <c r="F159" s="1" t="s">
        <v>34</v>
      </c>
      <c r="G159" s="1" t="s">
        <v>33</v>
      </c>
      <c r="H159" s="3">
        <v>226</v>
      </c>
    </row>
    <row r="160" spans="1:8" ht="18" customHeight="1">
      <c r="A160" s="3">
        <v>2026</v>
      </c>
      <c r="B160" s="3">
        <v>3</v>
      </c>
      <c r="C160" s="5">
        <v>-23.340146202</v>
      </c>
      <c r="D160" s="5">
        <v>-21.805000000000064</v>
      </c>
      <c r="E160" s="5">
        <v>-6.8849069999999983</v>
      </c>
      <c r="F160" s="1" t="s">
        <v>34</v>
      </c>
      <c r="G160" s="1" t="s">
        <v>33</v>
      </c>
      <c r="H160" s="3">
        <v>227</v>
      </c>
    </row>
    <row r="161" spans="1:8" ht="18" customHeight="1">
      <c r="A161" s="3">
        <v>2026</v>
      </c>
      <c r="B161" s="3">
        <v>4</v>
      </c>
      <c r="C161" s="5">
        <v>-17.022782475</v>
      </c>
      <c r="D161" s="5">
        <v>13.365000000000009</v>
      </c>
      <c r="E161" s="5">
        <v>48.263423999999986</v>
      </c>
      <c r="F161" s="1" t="s">
        <v>34</v>
      </c>
      <c r="G161" s="1" t="s">
        <v>33</v>
      </c>
      <c r="H161" s="3">
        <v>228</v>
      </c>
    </row>
    <row r="162" spans="1:8" ht="18" customHeight="1">
      <c r="A162" s="3">
        <v>2026</v>
      </c>
      <c r="B162" s="3">
        <v>5</v>
      </c>
      <c r="C162" s="5">
        <v>-4.0974003210000003</v>
      </c>
      <c r="D162" s="5">
        <v>-3.7039999999999509</v>
      </c>
      <c r="E162" s="5">
        <v>24.313370999999989</v>
      </c>
      <c r="F162" s="1" t="s">
        <v>34</v>
      </c>
      <c r="G162" s="1" t="s">
        <v>33</v>
      </c>
      <c r="H162" s="3">
        <v>229</v>
      </c>
    </row>
    <row r="163" spans="1:8" ht="18" customHeight="1">
      <c r="A163" s="3">
        <v>2026</v>
      </c>
      <c r="B163" s="3">
        <v>6</v>
      </c>
      <c r="C163" s="5">
        <v>-19.634420246999998</v>
      </c>
      <c r="D163" s="5">
        <v>22.425999999999931</v>
      </c>
      <c r="E163" s="5">
        <v>76.671083000000039</v>
      </c>
      <c r="F163" s="1" t="s">
        <v>34</v>
      </c>
      <c r="G163" s="1" t="s">
        <v>33</v>
      </c>
      <c r="H163" s="3">
        <v>230</v>
      </c>
    </row>
    <row r="164" spans="1:8" ht="18" customHeight="1">
      <c r="A164" s="3">
        <v>2026</v>
      </c>
      <c r="B164" s="3">
        <v>7</v>
      </c>
      <c r="C164" s="5">
        <v>1.6185909779999998</v>
      </c>
      <c r="D164" s="5">
        <v>6.7960000000000491</v>
      </c>
      <c r="E164" s="5">
        <v>-6.0928540000000453</v>
      </c>
      <c r="F164" s="1" t="s">
        <v>34</v>
      </c>
      <c r="G164" s="1" t="s">
        <v>33</v>
      </c>
      <c r="H164" s="3">
        <v>231</v>
      </c>
    </row>
    <row r="165" spans="1:8" ht="18" customHeight="1">
      <c r="A165" s="3">
        <v>2026</v>
      </c>
      <c r="B165" s="3">
        <v>8</v>
      </c>
      <c r="C165" s="5">
        <v>1.1924885319999996</v>
      </c>
      <c r="D165" s="5">
        <v>15.348999999999933</v>
      </c>
      <c r="E165" s="5">
        <v>7.5974459999999908</v>
      </c>
      <c r="F165" s="1" t="s">
        <v>34</v>
      </c>
      <c r="G165" s="1" t="s">
        <v>33</v>
      </c>
      <c r="H165" s="3">
        <v>232</v>
      </c>
    </row>
    <row r="166" spans="1:8" ht="18" customHeight="1">
      <c r="A166" s="3">
        <v>2026</v>
      </c>
      <c r="B166" s="3">
        <v>9</v>
      </c>
      <c r="C166" s="5">
        <v>-10.243499999999999</v>
      </c>
      <c r="D166" s="5">
        <v>-0.34399999999993724</v>
      </c>
      <c r="E166" s="5">
        <v>-1.5115989999999897</v>
      </c>
      <c r="F166" s="1" t="s">
        <v>34</v>
      </c>
      <c r="G166" s="1" t="s">
        <v>33</v>
      </c>
      <c r="H166" s="3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6" customWidth="1"/>
    <col min="2" max="2" width="10" customWidth="1"/>
    <col min="3" max="3" width="12" customWidth="1"/>
    <col min="4" max="4" width="30" customWidth="1"/>
    <col min="5" max="6" width="18" customWidth="1"/>
    <col min="7" max="8" width="20" customWidth="1"/>
    <col min="9" max="9" width="85" customWidth="1"/>
  </cols>
  <sheetData>
    <row r="1" spans="1:9" ht="18" customHeight="1">
      <c r="A1" s="2" t="s">
        <v>35</v>
      </c>
      <c r="B1" s="2" t="s">
        <v>2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</row>
    <row r="2" spans="1:9" ht="18" customHeight="1">
      <c r="A2" s="6">
        <v>41396</v>
      </c>
      <c r="B2" s="3">
        <v>640</v>
      </c>
      <c r="C2" s="1" t="s">
        <v>43</v>
      </c>
      <c r="D2" s="1" t="s">
        <v>44</v>
      </c>
      <c r="E2" s="1" t="s">
        <v>45</v>
      </c>
      <c r="F2" s="1" t="s">
        <v>45</v>
      </c>
      <c r="G2" s="1" t="s">
        <v>46</v>
      </c>
      <c r="H2" s="1" t="s">
        <v>47</v>
      </c>
      <c r="I2" s="1" t="s">
        <v>48</v>
      </c>
    </row>
    <row r="3" spans="1:9" ht="18" customHeight="1">
      <c r="A3" s="6">
        <v>42145</v>
      </c>
      <c r="B3" s="3">
        <v>664</v>
      </c>
      <c r="C3" s="1" t="s">
        <v>43</v>
      </c>
      <c r="D3" s="1" t="s">
        <v>49</v>
      </c>
      <c r="E3" s="1" t="s">
        <v>45</v>
      </c>
      <c r="F3" s="1" t="s">
        <v>45</v>
      </c>
      <c r="G3" s="1" t="s">
        <v>47</v>
      </c>
      <c r="H3" s="1" t="s">
        <v>46</v>
      </c>
      <c r="I3" s="1" t="s">
        <v>48</v>
      </c>
    </row>
    <row r="4" spans="1:9" ht="18" customHeight="1">
      <c r="A4" s="6">
        <v>42725</v>
      </c>
      <c r="B4" s="3">
        <v>683</v>
      </c>
      <c r="C4" s="1" t="s">
        <v>50</v>
      </c>
      <c r="D4" s="1" t="s">
        <v>49</v>
      </c>
      <c r="E4" s="1" t="s">
        <v>51</v>
      </c>
      <c r="F4" s="1" t="s">
        <v>51</v>
      </c>
      <c r="G4" s="1" t="s">
        <v>47</v>
      </c>
      <c r="H4" s="1" t="s">
        <v>46</v>
      </c>
      <c r="I4" s="1" t="s">
        <v>48</v>
      </c>
    </row>
    <row r="5" spans="1:9" ht="18" customHeight="1">
      <c r="A5" s="6">
        <v>42774</v>
      </c>
      <c r="B5" s="3">
        <v>685</v>
      </c>
      <c r="C5" s="1" t="s">
        <v>52</v>
      </c>
      <c r="D5" s="1" t="s">
        <v>49</v>
      </c>
      <c r="E5" s="1" t="s">
        <v>53</v>
      </c>
      <c r="F5" s="1" t="s">
        <v>53</v>
      </c>
      <c r="G5" s="1" t="s">
        <v>47</v>
      </c>
      <c r="H5" s="1" t="s">
        <v>46</v>
      </c>
      <c r="I5" s="1" t="s">
        <v>48</v>
      </c>
    </row>
    <row r="6" spans="1:9" ht="18" customHeight="1">
      <c r="A6" s="6">
        <v>42874</v>
      </c>
      <c r="B6" s="3">
        <v>688</v>
      </c>
      <c r="C6" s="1" t="s">
        <v>43</v>
      </c>
      <c r="D6" s="1" t="s">
        <v>54</v>
      </c>
      <c r="E6" s="1" t="s">
        <v>45</v>
      </c>
      <c r="F6" s="1" t="s">
        <v>51</v>
      </c>
      <c r="G6" s="1" t="s">
        <v>46</v>
      </c>
      <c r="H6" s="1" t="s">
        <v>47</v>
      </c>
      <c r="I6" s="1" t="s">
        <v>48</v>
      </c>
    </row>
    <row r="7" spans="1:9" ht="18" customHeight="1">
      <c r="A7" s="6">
        <v>43089</v>
      </c>
      <c r="B7" s="3">
        <v>695</v>
      </c>
      <c r="C7" s="1" t="s">
        <v>50</v>
      </c>
      <c r="D7" s="1" t="s">
        <v>54</v>
      </c>
      <c r="E7" s="1" t="s">
        <v>51</v>
      </c>
      <c r="F7" s="1" t="s">
        <v>55</v>
      </c>
      <c r="G7" s="1" t="s">
        <v>46</v>
      </c>
      <c r="H7" s="1" t="s">
        <v>47</v>
      </c>
      <c r="I7" s="1" t="s">
        <v>48</v>
      </c>
    </row>
    <row r="8" spans="1:9" ht="18" customHeight="1">
      <c r="A8" s="6">
        <v>43203</v>
      </c>
      <c r="B8" s="3">
        <v>699</v>
      </c>
      <c r="C8" s="1" t="s">
        <v>52</v>
      </c>
      <c r="D8" s="1" t="s">
        <v>54</v>
      </c>
      <c r="E8" s="1" t="s">
        <v>53</v>
      </c>
      <c r="F8" s="1" t="s">
        <v>56</v>
      </c>
      <c r="G8" s="1" t="s">
        <v>46</v>
      </c>
      <c r="H8" s="1" t="s">
        <v>47</v>
      </c>
      <c r="I8" s="1" t="s">
        <v>48</v>
      </c>
    </row>
    <row r="9" spans="1:9" ht="18" customHeight="1">
      <c r="A9" s="6">
        <v>43616</v>
      </c>
      <c r="B9" s="3">
        <v>712</v>
      </c>
      <c r="C9" s="1" t="s">
        <v>43</v>
      </c>
      <c r="D9" s="1" t="s">
        <v>54</v>
      </c>
      <c r="E9" s="1" t="s">
        <v>51</v>
      </c>
      <c r="F9" s="1" t="s">
        <v>55</v>
      </c>
      <c r="G9" s="1" t="s">
        <v>47</v>
      </c>
      <c r="H9" s="1" t="s">
        <v>47</v>
      </c>
      <c r="I9" s="1" t="s">
        <v>48</v>
      </c>
    </row>
    <row r="10" spans="1:9" ht="18" customHeight="1">
      <c r="A10" s="6">
        <v>43938</v>
      </c>
      <c r="B10" s="3">
        <v>723</v>
      </c>
      <c r="C10" s="1" t="s">
        <v>43</v>
      </c>
      <c r="D10" s="1" t="s">
        <v>44</v>
      </c>
      <c r="E10" s="1" t="s">
        <v>55</v>
      </c>
      <c r="F10" s="1" t="s">
        <v>55</v>
      </c>
      <c r="G10" s="1" t="s">
        <v>47</v>
      </c>
      <c r="H10" s="1" t="s">
        <v>57</v>
      </c>
      <c r="I10" s="1" t="s">
        <v>48</v>
      </c>
    </row>
    <row r="11" spans="1:9" ht="18" customHeight="1">
      <c r="A11" s="6">
        <v>44678</v>
      </c>
      <c r="B11" s="3">
        <v>747</v>
      </c>
      <c r="C11" s="1" t="s">
        <v>43</v>
      </c>
      <c r="D11" s="1" t="s">
        <v>49</v>
      </c>
      <c r="E11" s="1" t="s">
        <v>55</v>
      </c>
      <c r="F11" s="1" t="s">
        <v>55</v>
      </c>
      <c r="G11" s="1" t="s">
        <v>57</v>
      </c>
      <c r="H11" s="1" t="s">
        <v>47</v>
      </c>
      <c r="I11" s="1" t="s">
        <v>48</v>
      </c>
    </row>
    <row r="12" spans="1:9" ht="18" customHeight="1">
      <c r="A12" s="6">
        <v>46058</v>
      </c>
      <c r="B12" s="3">
        <v>793</v>
      </c>
      <c r="C12" s="1" t="s">
        <v>52</v>
      </c>
      <c r="D12" s="1" t="s">
        <v>44</v>
      </c>
      <c r="E12" s="1" t="s">
        <v>56</v>
      </c>
      <c r="F12" s="1" t="s">
        <v>56</v>
      </c>
      <c r="G12" s="1" t="s">
        <v>47</v>
      </c>
      <c r="H12" s="1" t="s">
        <v>57</v>
      </c>
      <c r="I12" s="1" t="s">
        <v>48</v>
      </c>
    </row>
    <row r="13" spans="1:9" ht="18" customHeight="1">
      <c r="A13" s="6">
        <v>46085</v>
      </c>
      <c r="B13" s="3">
        <v>794</v>
      </c>
      <c r="C13" s="1" t="s">
        <v>50</v>
      </c>
      <c r="D13" s="1" t="s">
        <v>44</v>
      </c>
      <c r="E13" s="1" t="s">
        <v>55</v>
      </c>
      <c r="F13" s="1" t="s">
        <v>55</v>
      </c>
      <c r="G13" s="1" t="s">
        <v>47</v>
      </c>
      <c r="H13" s="1" t="s">
        <v>57</v>
      </c>
      <c r="I13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30" customWidth="1"/>
    <col min="2" max="2" width="55" customWidth="1"/>
    <col min="3" max="3" width="22" customWidth="1"/>
    <col min="4" max="4" width="45" customWidth="1"/>
    <col min="5" max="5" width="48" customWidth="1"/>
    <col min="6" max="6" width="85" customWidth="1"/>
    <col min="7" max="7" width="30" customWidth="1"/>
    <col min="8" max="8" width="17" customWidth="1"/>
    <col min="9" max="9" width="100" customWidth="1"/>
  </cols>
  <sheetData>
    <row r="1" spans="1:9" ht="18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</row>
    <row r="2" spans="1:9" ht="38" customHeight="1">
      <c r="A2" s="7" t="s">
        <v>67</v>
      </c>
      <c r="B2" s="7" t="s">
        <v>68</v>
      </c>
      <c r="C2" s="7" t="s">
        <v>69</v>
      </c>
      <c r="D2" s="7" t="s">
        <v>70</v>
      </c>
      <c r="E2" s="7" t="s">
        <v>71</v>
      </c>
      <c r="F2" s="7" t="s">
        <v>72</v>
      </c>
      <c r="G2" s="7" t="s">
        <v>73</v>
      </c>
      <c r="H2" s="7" t="s">
        <v>74</v>
      </c>
      <c r="I2" s="7" t="s">
        <v>75</v>
      </c>
    </row>
    <row r="3" spans="1:9" ht="52.05" customHeight="1">
      <c r="A3" s="7" t="s">
        <v>3</v>
      </c>
      <c r="B3" s="7" t="s">
        <v>76</v>
      </c>
      <c r="C3" s="7" t="s">
        <v>77</v>
      </c>
      <c r="D3" s="7" t="s">
        <v>78</v>
      </c>
      <c r="E3" s="7" t="s">
        <v>79</v>
      </c>
      <c r="F3" s="7" t="s">
        <v>80</v>
      </c>
      <c r="G3" s="7" t="s">
        <v>73</v>
      </c>
      <c r="H3" s="7" t="s">
        <v>74</v>
      </c>
      <c r="I3" s="7" t="s">
        <v>81</v>
      </c>
    </row>
    <row r="4" spans="1:9" ht="52.05" customHeight="1">
      <c r="A4" s="7" t="s">
        <v>7</v>
      </c>
      <c r="B4" s="7" t="s">
        <v>82</v>
      </c>
      <c r="C4" s="7" t="s">
        <v>83</v>
      </c>
      <c r="D4" s="7" t="s">
        <v>78</v>
      </c>
      <c r="E4" s="7" t="s">
        <v>79</v>
      </c>
      <c r="F4" s="7" t="s">
        <v>80</v>
      </c>
      <c r="G4" s="7" t="s">
        <v>73</v>
      </c>
      <c r="H4" s="7" t="s">
        <v>74</v>
      </c>
      <c r="I4" s="7" t="s">
        <v>84</v>
      </c>
    </row>
    <row r="5" spans="1:9" ht="38" customHeight="1">
      <c r="A5" s="7" t="s">
        <v>8</v>
      </c>
      <c r="B5" s="7" t="s">
        <v>85</v>
      </c>
      <c r="C5" s="7" t="s">
        <v>86</v>
      </c>
      <c r="D5" s="7" t="s">
        <v>78</v>
      </c>
      <c r="E5" s="7" t="s">
        <v>79</v>
      </c>
      <c r="F5" s="7" t="s">
        <v>80</v>
      </c>
      <c r="G5" s="7" t="s">
        <v>73</v>
      </c>
      <c r="H5" s="7" t="s">
        <v>74</v>
      </c>
      <c r="I5" s="7" t="s">
        <v>87</v>
      </c>
    </row>
    <row r="6" spans="1:9" ht="66" customHeight="1">
      <c r="A6" s="7" t="s">
        <v>5</v>
      </c>
      <c r="B6" s="7" t="s">
        <v>88</v>
      </c>
      <c r="C6" s="7" t="s">
        <v>89</v>
      </c>
      <c r="D6" s="7" t="s">
        <v>90</v>
      </c>
      <c r="E6" s="7" t="s">
        <v>91</v>
      </c>
      <c r="F6" s="7" t="s">
        <v>92</v>
      </c>
      <c r="G6" s="7" t="s">
        <v>73</v>
      </c>
      <c r="H6" s="7" t="s">
        <v>74</v>
      </c>
      <c r="I6" s="7" t="s">
        <v>93</v>
      </c>
    </row>
    <row r="7" spans="1:9" ht="38" customHeight="1">
      <c r="A7" s="7" t="s">
        <v>25</v>
      </c>
      <c r="B7" s="7" t="s">
        <v>94</v>
      </c>
      <c r="C7" s="7" t="s">
        <v>89</v>
      </c>
      <c r="D7" s="7" t="s">
        <v>95</v>
      </c>
      <c r="E7" s="7" t="s">
        <v>96</v>
      </c>
      <c r="F7" s="7" t="s">
        <v>92</v>
      </c>
      <c r="G7" s="7" t="s">
        <v>73</v>
      </c>
      <c r="H7" s="7" t="s">
        <v>74</v>
      </c>
      <c r="I7" s="7" t="s">
        <v>97</v>
      </c>
    </row>
    <row r="8" spans="1:9" ht="38" customHeight="1">
      <c r="A8" s="7" t="s">
        <v>26</v>
      </c>
      <c r="B8" s="7" t="s">
        <v>98</v>
      </c>
      <c r="C8" s="7" t="s">
        <v>89</v>
      </c>
      <c r="D8" s="7" t="s">
        <v>99</v>
      </c>
      <c r="E8" s="7" t="s">
        <v>100</v>
      </c>
      <c r="F8" s="7" t="s">
        <v>92</v>
      </c>
      <c r="G8" s="7" t="s">
        <v>73</v>
      </c>
      <c r="H8" s="7" t="s">
        <v>74</v>
      </c>
      <c r="I8" s="7" t="s">
        <v>101</v>
      </c>
    </row>
    <row r="9" spans="1:9" ht="52.05" customHeight="1">
      <c r="A9" s="7" t="s">
        <v>27</v>
      </c>
      <c r="B9" s="7" t="s">
        <v>102</v>
      </c>
      <c r="C9" s="7" t="s">
        <v>89</v>
      </c>
      <c r="D9" s="7" t="s">
        <v>103</v>
      </c>
      <c r="E9" s="7" t="s">
        <v>104</v>
      </c>
      <c r="F9" s="7" t="s">
        <v>92</v>
      </c>
      <c r="G9" s="7" t="s">
        <v>105</v>
      </c>
      <c r="H9" s="7" t="s">
        <v>74</v>
      </c>
      <c r="I9" s="7" t="s">
        <v>106</v>
      </c>
    </row>
    <row r="10" spans="1:9" ht="52.05" customHeight="1">
      <c r="A10" s="7" t="s">
        <v>19</v>
      </c>
      <c r="B10" s="7" t="s">
        <v>107</v>
      </c>
      <c r="C10" s="7" t="s">
        <v>108</v>
      </c>
      <c r="D10" s="7" t="s">
        <v>109</v>
      </c>
      <c r="E10" s="7" t="s">
        <v>110</v>
      </c>
      <c r="F10" s="7" t="s">
        <v>111</v>
      </c>
      <c r="G10" s="7" t="s">
        <v>112</v>
      </c>
      <c r="H10" s="7" t="s">
        <v>74</v>
      </c>
      <c r="I10" s="7" t="s">
        <v>113</v>
      </c>
    </row>
    <row r="11" spans="1:9" ht="38" customHeight="1">
      <c r="A11" s="7" t="s">
        <v>20</v>
      </c>
      <c r="B11" s="7" t="s">
        <v>114</v>
      </c>
      <c r="C11" s="7" t="s">
        <v>108</v>
      </c>
      <c r="D11" s="7" t="s">
        <v>109</v>
      </c>
      <c r="E11" s="7" t="s">
        <v>110</v>
      </c>
      <c r="F11" s="7" t="s">
        <v>115</v>
      </c>
      <c r="G11" s="7" t="s">
        <v>116</v>
      </c>
      <c r="H11" s="7" t="s">
        <v>74</v>
      </c>
      <c r="I11" s="7" t="s">
        <v>117</v>
      </c>
    </row>
    <row r="12" spans="1:9" ht="52.05" customHeight="1">
      <c r="A12" s="7" t="s">
        <v>20</v>
      </c>
      <c r="B12" s="7" t="s">
        <v>118</v>
      </c>
      <c r="C12" s="7" t="s">
        <v>108</v>
      </c>
      <c r="D12" s="7" t="s">
        <v>109</v>
      </c>
      <c r="E12" s="7" t="s">
        <v>119</v>
      </c>
      <c r="F12" s="7" t="s">
        <v>120</v>
      </c>
      <c r="G12" s="7" t="s">
        <v>121</v>
      </c>
      <c r="H12" s="7" t="s">
        <v>74</v>
      </c>
      <c r="I12" s="7" t="s">
        <v>122</v>
      </c>
    </row>
    <row r="13" spans="1:9" ht="38" customHeight="1">
      <c r="A13" s="7" t="s">
        <v>4</v>
      </c>
      <c r="B13" s="7" t="s">
        <v>123</v>
      </c>
      <c r="C13" s="7" t="s">
        <v>108</v>
      </c>
      <c r="D13" s="7" t="s">
        <v>124</v>
      </c>
      <c r="E13" s="7" t="s">
        <v>125</v>
      </c>
      <c r="F13" s="7" t="s">
        <v>126</v>
      </c>
      <c r="G13" s="7" t="s">
        <v>112</v>
      </c>
      <c r="H13" s="7" t="s">
        <v>74</v>
      </c>
      <c r="I13" s="7" t="s">
        <v>127</v>
      </c>
    </row>
    <row r="14" spans="1:9" ht="66" customHeight="1">
      <c r="A14" s="7" t="s">
        <v>6</v>
      </c>
      <c r="B14" s="7" t="s">
        <v>128</v>
      </c>
      <c r="C14" s="7" t="s">
        <v>108</v>
      </c>
      <c r="D14" s="7" t="s">
        <v>129</v>
      </c>
      <c r="E14" s="7" t="s">
        <v>130</v>
      </c>
      <c r="F14" s="7" t="s">
        <v>131</v>
      </c>
      <c r="G14" s="7" t="s">
        <v>112</v>
      </c>
      <c r="H14" s="7" t="s">
        <v>74</v>
      </c>
      <c r="I14" s="7" t="s">
        <v>132</v>
      </c>
    </row>
    <row r="15" spans="1:9" ht="52.05" customHeight="1">
      <c r="A15" s="7" t="s">
        <v>6</v>
      </c>
      <c r="B15" s="7" t="s">
        <v>133</v>
      </c>
      <c r="C15" s="7" t="s">
        <v>108</v>
      </c>
      <c r="D15" s="7" t="s">
        <v>129</v>
      </c>
      <c r="E15" s="7" t="s">
        <v>134</v>
      </c>
      <c r="F15" s="7" t="s">
        <v>135</v>
      </c>
      <c r="G15" s="7" t="s">
        <v>136</v>
      </c>
      <c r="H15" s="7" t="s">
        <v>74</v>
      </c>
      <c r="I15" s="7" t="s">
        <v>137</v>
      </c>
    </row>
    <row r="16" spans="1:9" ht="38" customHeight="1">
      <c r="A16" s="7" t="s">
        <v>9</v>
      </c>
      <c r="B16" s="7" t="s">
        <v>138</v>
      </c>
      <c r="C16" s="7" t="s">
        <v>83</v>
      </c>
      <c r="D16" s="7" t="s">
        <v>139</v>
      </c>
      <c r="E16" s="7" t="s">
        <v>140</v>
      </c>
      <c r="F16" s="7" t="s">
        <v>141</v>
      </c>
      <c r="G16" s="7" t="s">
        <v>73</v>
      </c>
      <c r="H16" s="7" t="s">
        <v>74</v>
      </c>
      <c r="I16" s="7" t="s">
        <v>142</v>
      </c>
    </row>
    <row r="17" spans="1:9" ht="52.05" customHeight="1">
      <c r="A17" s="7" t="s">
        <v>10</v>
      </c>
      <c r="B17" s="7" t="s">
        <v>143</v>
      </c>
      <c r="C17" s="7" t="s">
        <v>86</v>
      </c>
      <c r="D17" s="7" t="s">
        <v>144</v>
      </c>
      <c r="E17" s="7" t="s">
        <v>145</v>
      </c>
      <c r="F17" s="7" t="s">
        <v>146</v>
      </c>
      <c r="G17" s="7" t="s">
        <v>73</v>
      </c>
      <c r="H17" s="7" t="s">
        <v>74</v>
      </c>
      <c r="I17" s="7" t="s">
        <v>147</v>
      </c>
    </row>
    <row r="18" spans="1:9" ht="38" customHeight="1">
      <c r="A18" s="7" t="s">
        <v>11</v>
      </c>
      <c r="B18" s="7" t="s">
        <v>148</v>
      </c>
      <c r="C18" s="7" t="s">
        <v>86</v>
      </c>
      <c r="D18" s="7" t="s">
        <v>149</v>
      </c>
      <c r="E18" s="7" t="s">
        <v>150</v>
      </c>
      <c r="F18" s="7" t="s">
        <v>151</v>
      </c>
      <c r="G18" s="7" t="s">
        <v>73</v>
      </c>
      <c r="H18" s="7" t="s">
        <v>74</v>
      </c>
      <c r="I18" s="7" t="s">
        <v>152</v>
      </c>
    </row>
    <row r="19" spans="1:9" ht="38" customHeight="1">
      <c r="A19" s="7" t="s">
        <v>12</v>
      </c>
      <c r="B19" s="7" t="s">
        <v>153</v>
      </c>
      <c r="C19" s="7" t="s">
        <v>86</v>
      </c>
      <c r="D19" s="7" t="s">
        <v>149</v>
      </c>
      <c r="E19" s="7" t="s">
        <v>150</v>
      </c>
      <c r="F19" s="7" t="s">
        <v>154</v>
      </c>
      <c r="G19" s="7" t="s">
        <v>73</v>
      </c>
      <c r="H19" s="7" t="s">
        <v>74</v>
      </c>
      <c r="I19" s="7" t="s">
        <v>155</v>
      </c>
    </row>
    <row r="20" spans="1:9" ht="38" customHeight="1">
      <c r="A20" s="7" t="s">
        <v>13</v>
      </c>
      <c r="B20" s="7" t="s">
        <v>156</v>
      </c>
      <c r="C20" s="7" t="s">
        <v>86</v>
      </c>
      <c r="D20" s="7" t="s">
        <v>157</v>
      </c>
      <c r="E20" s="7" t="s">
        <v>158</v>
      </c>
      <c r="F20" s="7" t="s">
        <v>159</v>
      </c>
      <c r="G20" s="7" t="s">
        <v>73</v>
      </c>
      <c r="H20" s="7" t="s">
        <v>74</v>
      </c>
      <c r="I20" s="7" t="s">
        <v>160</v>
      </c>
    </row>
    <row r="21" spans="1:9" ht="38" customHeight="1">
      <c r="A21" s="7" t="s">
        <v>14</v>
      </c>
      <c r="B21" s="7" t="s">
        <v>161</v>
      </c>
      <c r="C21" s="7" t="s">
        <v>162</v>
      </c>
      <c r="D21" s="7" t="s">
        <v>163</v>
      </c>
      <c r="E21" s="7" t="s">
        <v>164</v>
      </c>
      <c r="F21" s="7" t="s">
        <v>165</v>
      </c>
      <c r="G21" s="7" t="s">
        <v>73</v>
      </c>
      <c r="H21" s="7" t="s">
        <v>74</v>
      </c>
      <c r="I21" s="7" t="s">
        <v>166</v>
      </c>
    </row>
    <row r="22" spans="1:9" ht="66" customHeight="1">
      <c r="A22" s="7" t="s">
        <v>15</v>
      </c>
      <c r="B22" s="7" t="s">
        <v>167</v>
      </c>
      <c r="C22" s="7" t="s">
        <v>168</v>
      </c>
      <c r="D22" s="7" t="s">
        <v>169</v>
      </c>
      <c r="E22" s="7" t="s">
        <v>170</v>
      </c>
      <c r="F22" s="7" t="s">
        <v>48</v>
      </c>
      <c r="G22" s="7" t="s">
        <v>73</v>
      </c>
      <c r="H22" s="7" t="s">
        <v>74</v>
      </c>
      <c r="I22" s="7" t="s">
        <v>171</v>
      </c>
    </row>
    <row r="23" spans="1:9" ht="80" customHeight="1">
      <c r="A23" s="7" t="s">
        <v>16</v>
      </c>
      <c r="B23" s="7" t="s">
        <v>172</v>
      </c>
      <c r="C23" s="7" t="s">
        <v>168</v>
      </c>
      <c r="D23" s="7" t="s">
        <v>169</v>
      </c>
      <c r="E23" s="7" t="s">
        <v>170</v>
      </c>
      <c r="F23" s="7" t="s">
        <v>48</v>
      </c>
      <c r="G23" s="7" t="s">
        <v>73</v>
      </c>
      <c r="H23" s="7" t="s">
        <v>74</v>
      </c>
      <c r="I23" s="7" t="s">
        <v>173</v>
      </c>
    </row>
    <row r="24" spans="1:9" ht="66" customHeight="1">
      <c r="A24" s="7" t="s">
        <v>17</v>
      </c>
      <c r="B24" s="7" t="s">
        <v>174</v>
      </c>
      <c r="C24" s="7" t="s">
        <v>168</v>
      </c>
      <c r="D24" s="7" t="s">
        <v>169</v>
      </c>
      <c r="E24" s="7" t="s">
        <v>170</v>
      </c>
      <c r="F24" s="7" t="s">
        <v>48</v>
      </c>
      <c r="G24" s="7" t="s">
        <v>73</v>
      </c>
      <c r="H24" s="7" t="s">
        <v>74</v>
      </c>
      <c r="I24" s="7" t="s">
        <v>171</v>
      </c>
    </row>
    <row r="25" spans="1:9" ht="66" customHeight="1">
      <c r="A25" s="7" t="s">
        <v>18</v>
      </c>
      <c r="B25" s="7" t="s">
        <v>175</v>
      </c>
      <c r="C25" s="7" t="s">
        <v>168</v>
      </c>
      <c r="D25" s="7" t="s">
        <v>169</v>
      </c>
      <c r="E25" s="7" t="s">
        <v>170</v>
      </c>
      <c r="F25" s="7" t="s">
        <v>48</v>
      </c>
      <c r="G25" s="7" t="s">
        <v>73</v>
      </c>
      <c r="H25" s="7" t="s">
        <v>74</v>
      </c>
      <c r="I25" s="7" t="s">
        <v>171</v>
      </c>
    </row>
    <row r="26" spans="1:9" ht="38" customHeight="1">
      <c r="A26" s="7" t="s">
        <v>21</v>
      </c>
      <c r="B26" s="7" t="s">
        <v>176</v>
      </c>
      <c r="C26" s="7" t="s">
        <v>168</v>
      </c>
      <c r="D26" s="7" t="s">
        <v>177</v>
      </c>
      <c r="E26" s="7" t="s">
        <v>178</v>
      </c>
      <c r="F26" s="7" t="s">
        <v>146</v>
      </c>
      <c r="G26" s="7" t="s">
        <v>73</v>
      </c>
      <c r="H26" s="7" t="s">
        <v>74</v>
      </c>
      <c r="I26" s="7" t="s">
        <v>179</v>
      </c>
    </row>
    <row r="27" spans="1:9" ht="38" customHeight="1">
      <c r="A27" s="7" t="s">
        <v>22</v>
      </c>
      <c r="B27" s="7" t="s">
        <v>180</v>
      </c>
      <c r="C27" s="7" t="s">
        <v>168</v>
      </c>
      <c r="D27" s="7" t="s">
        <v>181</v>
      </c>
      <c r="E27" s="7" t="s">
        <v>182</v>
      </c>
      <c r="F27" s="7" t="s">
        <v>183</v>
      </c>
      <c r="G27" s="7" t="s">
        <v>73</v>
      </c>
      <c r="H27" s="7" t="s">
        <v>74</v>
      </c>
      <c r="I27" s="7" t="s">
        <v>184</v>
      </c>
    </row>
    <row r="28" spans="1:9" ht="52.05" customHeight="1">
      <c r="A28" s="7" t="s">
        <v>24</v>
      </c>
      <c r="B28" s="7" t="s">
        <v>185</v>
      </c>
      <c r="C28" s="7" t="s">
        <v>168</v>
      </c>
      <c r="D28" s="7" t="s">
        <v>186</v>
      </c>
      <c r="E28" s="7" t="s">
        <v>164</v>
      </c>
      <c r="F28" s="7" t="s">
        <v>187</v>
      </c>
      <c r="G28" s="7" t="s">
        <v>73</v>
      </c>
      <c r="H28" s="7" t="s">
        <v>74</v>
      </c>
      <c r="I28" s="7" t="s">
        <v>188</v>
      </c>
    </row>
    <row r="29" spans="1:9" ht="38" customHeight="1">
      <c r="A29" s="7" t="s">
        <v>23</v>
      </c>
      <c r="B29" s="7" t="s">
        <v>189</v>
      </c>
      <c r="C29" s="7" t="s">
        <v>168</v>
      </c>
      <c r="D29" s="7" t="s">
        <v>190</v>
      </c>
      <c r="E29" s="7" t="s">
        <v>164</v>
      </c>
      <c r="F29" s="7" t="s">
        <v>187</v>
      </c>
      <c r="G29" s="7" t="s">
        <v>191</v>
      </c>
      <c r="H29" s="7" t="s">
        <v>74</v>
      </c>
      <c r="I29" s="7" t="s">
        <v>192</v>
      </c>
    </row>
    <row r="30" spans="1:9" ht="52.05" customHeight="1">
      <c r="A30" s="7" t="s">
        <v>193</v>
      </c>
      <c r="B30" s="7" t="s">
        <v>194</v>
      </c>
      <c r="C30" s="7" t="s">
        <v>195</v>
      </c>
      <c r="D30" s="7" t="s">
        <v>196</v>
      </c>
      <c r="E30" s="7" t="s">
        <v>197</v>
      </c>
      <c r="F30" s="7" t="s">
        <v>198</v>
      </c>
      <c r="G30" s="7" t="s">
        <v>199</v>
      </c>
      <c r="H30" s="7" t="s">
        <v>74</v>
      </c>
      <c r="I30" s="7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database_monthly</vt:lpstr>
      <vt:lpstr>flow_components</vt:lpstr>
      <vt:lpstr>rating_events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Muhamad Haikal</cp:lastModifiedBy>
  <dcterms:modified xsi:type="dcterms:W3CDTF">2026-10-30T03:50:36Z</dcterms:modified>
</cp:coreProperties>
</file>